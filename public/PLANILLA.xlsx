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79\Dropbox\María José Montero\PROYECTOS\REFUERZO ENTREPISO DON JORGE\"/>
    </mc:Choice>
  </mc:AlternateContent>
  <xr:revisionPtr revIDLastSave="0" documentId="13_ncr:1_{BC6DE952-56B5-4756-8B84-2E6652D037E8}" xr6:coauthVersionLast="47" xr6:coauthVersionMax="47" xr10:uidLastSave="{00000000-0000-0000-0000-000000000000}"/>
  <bookViews>
    <workbookView xWindow="-110" yWindow="-110" windowWidth="19420" windowHeight="11020" xr2:uid="{B10A6E45-C384-471A-A7E5-5A909A50BE5B}"/>
  </bookViews>
  <sheets>
    <sheet name="planilla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" i="1" l="1"/>
  <c r="AG8" i="1" l="1"/>
  <c r="AS37" i="1"/>
  <c r="AB37" i="1"/>
  <c r="T37" i="1"/>
  <c r="S37" i="1"/>
  <c r="R37" i="1"/>
  <c r="Q37" i="1"/>
  <c r="N37" i="1"/>
  <c r="AD37" i="1" s="1"/>
  <c r="AB36" i="1"/>
  <c r="Q36" i="1"/>
  <c r="AC36" i="1" s="1"/>
  <c r="AS36" i="1" s="1"/>
  <c r="P36" i="1"/>
  <c r="N36" i="1"/>
  <c r="AB35" i="1"/>
  <c r="AD35" i="1" s="1"/>
  <c r="AF35" i="1" s="1"/>
  <c r="Q35" i="1"/>
  <c r="AC35" i="1" s="1"/>
  <c r="AS35" i="1" s="1"/>
  <c r="P35" i="1"/>
  <c r="N35" i="1"/>
  <c r="AB34" i="1"/>
  <c r="Q34" i="1"/>
  <c r="AC34" i="1" s="1"/>
  <c r="AS34" i="1" s="1"/>
  <c r="P34" i="1"/>
  <c r="N34" i="1"/>
  <c r="AW33" i="1"/>
  <c r="AY33" i="1" s="1"/>
  <c r="AB33" i="1"/>
  <c r="T33" i="1"/>
  <c r="S33" i="1"/>
  <c r="R33" i="1"/>
  <c r="Q33" i="1"/>
  <c r="AC33" i="1" s="1"/>
  <c r="AS33" i="1" s="1"/>
  <c r="P33" i="1"/>
  <c r="N33" i="1"/>
  <c r="AY32" i="1"/>
  <c r="AB32" i="1"/>
  <c r="T32" i="1"/>
  <c r="S32" i="1"/>
  <c r="R32" i="1"/>
  <c r="Q32" i="1"/>
  <c r="AC32" i="1" s="1"/>
  <c r="AS32" i="1" s="1"/>
  <c r="P32" i="1"/>
  <c r="N32" i="1"/>
  <c r="AY31" i="1"/>
  <c r="AB31" i="1"/>
  <c r="T31" i="1"/>
  <c r="S31" i="1"/>
  <c r="R31" i="1"/>
  <c r="Q31" i="1"/>
  <c r="AC31" i="1" s="1"/>
  <c r="AS31" i="1" s="1"/>
  <c r="P31" i="1"/>
  <c r="N31" i="1"/>
  <c r="BA30" i="1"/>
  <c r="AY30" i="1"/>
  <c r="AW30" i="1"/>
  <c r="AB30" i="1"/>
  <c r="T30" i="1"/>
  <c r="S30" i="1"/>
  <c r="R30" i="1"/>
  <c r="Q30" i="1"/>
  <c r="AC30" i="1" s="1"/>
  <c r="AS30" i="1" s="1"/>
  <c r="P30" i="1"/>
  <c r="N30" i="1"/>
  <c r="AY29" i="1"/>
  <c r="AB29" i="1"/>
  <c r="T29" i="1"/>
  <c r="S29" i="1"/>
  <c r="R29" i="1"/>
  <c r="Q29" i="1"/>
  <c r="AC29" i="1" s="1"/>
  <c r="AS29" i="1" s="1"/>
  <c r="P29" i="1"/>
  <c r="N29" i="1"/>
  <c r="AY28" i="1"/>
  <c r="AB28" i="1"/>
  <c r="T28" i="1"/>
  <c r="S28" i="1"/>
  <c r="R28" i="1"/>
  <c r="Q28" i="1"/>
  <c r="AC28" i="1" s="1"/>
  <c r="AS28" i="1" s="1"/>
  <c r="P28" i="1"/>
  <c r="N28" i="1"/>
  <c r="AY27" i="1"/>
  <c r="AC27" i="1"/>
  <c r="AS27" i="1" s="1"/>
  <c r="AB27" i="1"/>
  <c r="T27" i="1"/>
  <c r="S27" i="1"/>
  <c r="R27" i="1"/>
  <c r="Q27" i="1"/>
  <c r="P27" i="1"/>
  <c r="N27" i="1"/>
  <c r="AY26" i="1"/>
  <c r="AB26" i="1"/>
  <c r="AD26" i="1" s="1"/>
  <c r="T26" i="1"/>
  <c r="S26" i="1"/>
  <c r="R26" i="1"/>
  <c r="Q26" i="1"/>
  <c r="AC26" i="1" s="1"/>
  <c r="AS26" i="1" s="1"/>
  <c r="P26" i="1"/>
  <c r="N26" i="1"/>
  <c r="AY25" i="1"/>
  <c r="AB25" i="1"/>
  <c r="AD25" i="1" s="1"/>
  <c r="AT25" i="1" s="1"/>
  <c r="AV25" i="1" s="1"/>
  <c r="AZ25" i="1" s="1"/>
  <c r="T25" i="1"/>
  <c r="S25" i="1"/>
  <c r="R25" i="1"/>
  <c r="Q25" i="1"/>
  <c r="AC25" i="1" s="1"/>
  <c r="AS25" i="1" s="1"/>
  <c r="P25" i="1"/>
  <c r="N25" i="1"/>
  <c r="AY24" i="1"/>
  <c r="AD24" i="1"/>
  <c r="AB24" i="1"/>
  <c r="T24" i="1"/>
  <c r="S24" i="1"/>
  <c r="R24" i="1"/>
  <c r="Q24" i="1"/>
  <c r="AC24" i="1" s="1"/>
  <c r="AS24" i="1" s="1"/>
  <c r="P24" i="1"/>
  <c r="N24" i="1"/>
  <c r="AW23" i="1"/>
  <c r="AY23" i="1" s="1"/>
  <c r="AB23" i="1"/>
  <c r="T23" i="1"/>
  <c r="S23" i="1"/>
  <c r="R23" i="1"/>
  <c r="Q23" i="1"/>
  <c r="AC23" i="1" s="1"/>
  <c r="AS23" i="1" s="1"/>
  <c r="P23" i="1"/>
  <c r="N23" i="1"/>
  <c r="AY22" i="1"/>
  <c r="AB22" i="1"/>
  <c r="T22" i="1"/>
  <c r="S22" i="1"/>
  <c r="R22" i="1"/>
  <c r="Q22" i="1"/>
  <c r="AC22" i="1" s="1"/>
  <c r="AS22" i="1" s="1"/>
  <c r="P22" i="1"/>
  <c r="N22" i="1"/>
  <c r="AY21" i="1"/>
  <c r="AB21" i="1"/>
  <c r="T21" i="1"/>
  <c r="S21" i="1"/>
  <c r="R21" i="1"/>
  <c r="Q21" i="1"/>
  <c r="AC21" i="1" s="1"/>
  <c r="AS21" i="1" s="1"/>
  <c r="P21" i="1"/>
  <c r="N21" i="1"/>
  <c r="AY20" i="1"/>
  <c r="AB20" i="1"/>
  <c r="T20" i="1"/>
  <c r="S20" i="1"/>
  <c r="R20" i="1"/>
  <c r="Q20" i="1"/>
  <c r="AC20" i="1" s="1"/>
  <c r="AS20" i="1" s="1"/>
  <c r="P20" i="1"/>
  <c r="N20" i="1"/>
  <c r="AY19" i="1"/>
  <c r="AB19" i="1"/>
  <c r="T19" i="1"/>
  <c r="S19" i="1"/>
  <c r="R19" i="1"/>
  <c r="Q19" i="1"/>
  <c r="AC19" i="1" s="1"/>
  <c r="AS19" i="1" s="1"/>
  <c r="P19" i="1"/>
  <c r="N19" i="1"/>
  <c r="AD19" i="1" s="1"/>
  <c r="AT19" i="1" s="1"/>
  <c r="AV19" i="1" s="1"/>
  <c r="AZ19" i="1" s="1"/>
  <c r="AY18" i="1"/>
  <c r="AB18" i="1"/>
  <c r="T18" i="1"/>
  <c r="S18" i="1"/>
  <c r="R18" i="1"/>
  <c r="Q18" i="1"/>
  <c r="AC18" i="1" s="1"/>
  <c r="AS18" i="1" s="1"/>
  <c r="P18" i="1"/>
  <c r="N18" i="1"/>
  <c r="AW17" i="1"/>
  <c r="AY17" i="1" s="1"/>
  <c r="AB17" i="1"/>
  <c r="Q17" i="1"/>
  <c r="AC17" i="1" s="1"/>
  <c r="AS17" i="1" s="1"/>
  <c r="P17" i="1"/>
  <c r="N17" i="1"/>
  <c r="AY16" i="1"/>
  <c r="AB16" i="1"/>
  <c r="T16" i="1"/>
  <c r="S16" i="1"/>
  <c r="R16" i="1"/>
  <c r="Q16" i="1"/>
  <c r="AC16" i="1" s="1"/>
  <c r="AS16" i="1" s="1"/>
  <c r="P16" i="1"/>
  <c r="N16" i="1"/>
  <c r="AY15" i="1"/>
  <c r="AB15" i="1"/>
  <c r="T15" i="1"/>
  <c r="S15" i="1"/>
  <c r="R15" i="1"/>
  <c r="Q15" i="1"/>
  <c r="AC15" i="1" s="1"/>
  <c r="AS15" i="1" s="1"/>
  <c r="P15" i="1"/>
  <c r="N15" i="1"/>
  <c r="AY14" i="1"/>
  <c r="AB14" i="1"/>
  <c r="T14" i="1"/>
  <c r="S14" i="1"/>
  <c r="R14" i="1"/>
  <c r="Q14" i="1"/>
  <c r="AC14" i="1" s="1"/>
  <c r="AS14" i="1" s="1"/>
  <c r="P14" i="1"/>
  <c r="N14" i="1"/>
  <c r="AY13" i="1"/>
  <c r="AB13" i="1"/>
  <c r="AD13" i="1" s="1"/>
  <c r="AT13" i="1" s="1"/>
  <c r="AV13" i="1" s="1"/>
  <c r="AZ13" i="1" s="1"/>
  <c r="T13" i="1"/>
  <c r="S13" i="1"/>
  <c r="R13" i="1"/>
  <c r="Q13" i="1"/>
  <c r="AC13" i="1" s="1"/>
  <c r="AS13" i="1" s="1"/>
  <c r="P13" i="1"/>
  <c r="N13" i="1"/>
  <c r="AY12" i="1"/>
  <c r="AB12" i="1"/>
  <c r="T12" i="1"/>
  <c r="S12" i="1"/>
  <c r="R12" i="1"/>
  <c r="Q12" i="1"/>
  <c r="AC12" i="1" s="1"/>
  <c r="AS12" i="1" s="1"/>
  <c r="P12" i="1"/>
  <c r="N12" i="1"/>
  <c r="AW11" i="1"/>
  <c r="AY11" i="1" s="1"/>
  <c r="AB11" i="1"/>
  <c r="T11" i="1"/>
  <c r="S11" i="1"/>
  <c r="R11" i="1"/>
  <c r="Q11" i="1"/>
  <c r="AC11" i="1" s="1"/>
  <c r="AS11" i="1" s="1"/>
  <c r="P11" i="1"/>
  <c r="N11" i="1"/>
  <c r="AY10" i="1"/>
  <c r="AB10" i="1"/>
  <c r="T10" i="1"/>
  <c r="S10" i="1"/>
  <c r="R10" i="1"/>
  <c r="Q10" i="1"/>
  <c r="AC10" i="1" s="1"/>
  <c r="AS10" i="1" s="1"/>
  <c r="P10" i="1"/>
  <c r="N10" i="1"/>
  <c r="AW9" i="1"/>
  <c r="AY9" i="1" s="1"/>
  <c r="AB9" i="1"/>
  <c r="T9" i="1"/>
  <c r="S9" i="1"/>
  <c r="R9" i="1"/>
  <c r="Q9" i="1"/>
  <c r="AC9" i="1" s="1"/>
  <c r="AS9" i="1" s="1"/>
  <c r="P9" i="1"/>
  <c r="N9" i="1"/>
  <c r="BA8" i="1"/>
  <c r="AX8" i="1"/>
  <c r="AY8" i="1" s="1"/>
  <c r="AU8" i="1"/>
  <c r="AV8" i="1" s="1"/>
  <c r="AZ8" i="1" s="1"/>
  <c r="AT8" i="1"/>
  <c r="AF8" i="1"/>
  <c r="AB8" i="1"/>
  <c r="T8" i="1"/>
  <c r="S8" i="1"/>
  <c r="R8" i="1"/>
  <c r="Q8" i="1"/>
  <c r="AC8" i="1" s="1"/>
  <c r="AS8" i="1" s="1"/>
  <c r="P8" i="1"/>
  <c r="N8" i="1"/>
  <c r="AD18" i="1" l="1"/>
  <c r="AD15" i="1"/>
  <c r="AF15" i="1" s="1"/>
  <c r="AD14" i="1"/>
  <c r="AT14" i="1" s="1"/>
  <c r="AV14" i="1" s="1"/>
  <c r="AZ14" i="1" s="1"/>
  <c r="AD17" i="1"/>
  <c r="AF17" i="1" s="1"/>
  <c r="AD22" i="1"/>
  <c r="AF22" i="1" s="1"/>
  <c r="AD12" i="1"/>
  <c r="AF12" i="1" s="1"/>
  <c r="AD27" i="1"/>
  <c r="AF27" i="1" s="1"/>
  <c r="AD16" i="1"/>
  <c r="AT16" i="1" s="1"/>
  <c r="AV16" i="1" s="1"/>
  <c r="AZ16" i="1" s="1"/>
  <c r="AD28" i="1"/>
  <c r="AT28" i="1" s="1"/>
  <c r="AV28" i="1" s="1"/>
  <c r="AZ28" i="1" s="1"/>
  <c r="AD10" i="1"/>
  <c r="AD20" i="1"/>
  <c r="AT20" i="1" s="1"/>
  <c r="AV20" i="1" s="1"/>
  <c r="AZ20" i="1" s="1"/>
  <c r="AD31" i="1"/>
  <c r="AT31" i="1" s="1"/>
  <c r="AV31" i="1" s="1"/>
  <c r="AZ31" i="1" s="1"/>
  <c r="AD32" i="1"/>
  <c r="AT32" i="1" s="1"/>
  <c r="AV32" i="1" s="1"/>
  <c r="AZ32" i="1" s="1"/>
  <c r="AD23" i="1"/>
  <c r="AF20" i="1"/>
  <c r="AT15" i="1"/>
  <c r="AV15" i="1" s="1"/>
  <c r="AZ15" i="1" s="1"/>
  <c r="AD21" i="1"/>
  <c r="AF21" i="1" s="1"/>
  <c r="AD29" i="1"/>
  <c r="AT29" i="1" s="1"/>
  <c r="AV29" i="1" s="1"/>
  <c r="AZ29" i="1" s="1"/>
  <c r="AD30" i="1"/>
  <c r="AF30" i="1" s="1"/>
  <c r="AD33" i="1"/>
  <c r="AF33" i="1" s="1"/>
  <c r="AD34" i="1"/>
  <c r="AF34" i="1" s="1"/>
  <c r="AD36" i="1"/>
  <c r="AF36" i="1" s="1"/>
  <c r="AD11" i="1"/>
  <c r="AT11" i="1" s="1"/>
  <c r="AV11" i="1" s="1"/>
  <c r="AZ11" i="1" s="1"/>
  <c r="AF16" i="1"/>
  <c r="AF18" i="1"/>
  <c r="AF5" i="1" s="1"/>
  <c r="AT18" i="1"/>
  <c r="AV18" i="1" s="1"/>
  <c r="AZ18" i="1" s="1"/>
  <c r="AF28" i="1"/>
  <c r="AT23" i="1"/>
  <c r="AV23" i="1" s="1"/>
  <c r="AZ23" i="1" s="1"/>
  <c r="AF23" i="1"/>
  <c r="AF13" i="1"/>
  <c r="AF19" i="1"/>
  <c r="AT22" i="1"/>
  <c r="AV22" i="1" s="1"/>
  <c r="AZ22" i="1" s="1"/>
  <c r="AF29" i="1"/>
  <c r="AT30" i="1"/>
  <c r="AV30" i="1" s="1"/>
  <c r="AZ30" i="1" s="1"/>
  <c r="AF25" i="1"/>
  <c r="AF26" i="1"/>
  <c r="AT26" i="1"/>
  <c r="AV26" i="1" s="1"/>
  <c r="AZ26" i="1" s="1"/>
  <c r="AT27" i="1"/>
  <c r="AV27" i="1" s="1"/>
  <c r="AZ27" i="1" s="1"/>
  <c r="AT24" i="1"/>
  <c r="AV24" i="1" s="1"/>
  <c r="AZ24" i="1" s="1"/>
  <c r="AF24" i="1"/>
  <c r="AF14" i="1"/>
  <c r="AT12" i="1" l="1"/>
  <c r="AV12" i="1" s="1"/>
  <c r="AZ12" i="1" s="1"/>
  <c r="AT17" i="1"/>
  <c r="AV17" i="1" s="1"/>
  <c r="AZ17" i="1" s="1"/>
  <c r="AF11" i="1"/>
  <c r="AF32" i="1"/>
  <c r="AF31" i="1"/>
  <c r="AT33" i="1"/>
  <c r="AV33" i="1" s="1"/>
  <c r="AZ33" i="1" s="1"/>
  <c r="AT21" i="1"/>
  <c r="AV21" i="1" s="1"/>
  <c r="AZ21" i="1" s="1"/>
  <c r="AF10" i="1"/>
  <c r="AT10" i="1"/>
  <c r="AV10" i="1" s="1"/>
  <c r="AZ10" i="1" s="1"/>
  <c r="AF9" i="1"/>
  <c r="AT9" i="1"/>
  <c r="AV9" i="1" s="1"/>
  <c r="AZ9" i="1" s="1"/>
</calcChain>
</file>

<file path=xl/sharedStrings.xml><?xml version="1.0" encoding="utf-8"?>
<sst xmlns="http://schemas.openxmlformats.org/spreadsheetml/2006/main" count="145" uniqueCount="84">
  <si>
    <t>PLANILLA SEMANAL</t>
  </si>
  <si>
    <t>MES</t>
  </si>
  <si>
    <t>OCTUBRE</t>
  </si>
  <si>
    <t>SEMANA</t>
  </si>
  <si>
    <t>DE</t>
  </si>
  <si>
    <t>HASTA</t>
  </si>
  <si>
    <t>TOTAL PLANILLA</t>
  </si>
  <si>
    <t>CANTIDAD</t>
  </si>
  <si>
    <t>DATOS DE TRABAJADORES</t>
  </si>
  <si>
    <t>HORAS TRABAJADAS</t>
  </si>
  <si>
    <t>TOTAL DE HORAS</t>
  </si>
  <si>
    <t>COSTO X HORA</t>
  </si>
  <si>
    <t>TOTAL</t>
  </si>
  <si>
    <t>HORAS SAN MATEO</t>
  </si>
  <si>
    <t>TOTAL SAN MATEO</t>
  </si>
  <si>
    <t>HORAS PINILLA</t>
  </si>
  <si>
    <t>TOTAL PINILLA</t>
  </si>
  <si>
    <t>MANEJADA + ARREGLO DE BUSETA + FERRETERIA Y DIARIO</t>
  </si>
  <si>
    <t>NOMBRE COMPLETO</t>
  </si>
  <si>
    <t>IDENTIFICACION</t>
  </si>
  <si>
    <t>CUENTA</t>
  </si>
  <si>
    <t>TELEFONO</t>
  </si>
  <si>
    <t>LUNES</t>
  </si>
  <si>
    <t>MARTES</t>
  </si>
  <si>
    <t>MIÉRCOLES</t>
  </si>
  <si>
    <t>JUEVES</t>
  </si>
  <si>
    <t>VIERNES</t>
  </si>
  <si>
    <t>SÁBADO</t>
  </si>
  <si>
    <t>DOMINGO</t>
  </si>
  <si>
    <t>CUENTA SIMPE 17 DIGI</t>
  </si>
  <si>
    <t>PAGO</t>
  </si>
  <si>
    <t>JOSE MANUEL LOPEZ HERNANDEZ</t>
  </si>
  <si>
    <t>CR89010200009230258863</t>
  </si>
  <si>
    <t>JOSE FLORES LOPEZ</t>
  </si>
  <si>
    <t>CR73010200009529146124</t>
  </si>
  <si>
    <t>SIDNEY GOMEZ</t>
  </si>
  <si>
    <t>CR62010200009529143315</t>
  </si>
  <si>
    <t xml:space="preserve">MANEJADA </t>
  </si>
  <si>
    <t>ELMER ARIAS LOPEZ</t>
  </si>
  <si>
    <t xml:space="preserve">CR6401200009529146383 </t>
  </si>
  <si>
    <t>JOSE MARTINEZ LOPEZ</t>
  </si>
  <si>
    <t>CR19010200009529145544</t>
  </si>
  <si>
    <t>-</t>
  </si>
  <si>
    <t>FRANKLIN ZELEDON</t>
  </si>
  <si>
    <t>LUIS FERNANDO HERNANDEZ LOPEZ</t>
  </si>
  <si>
    <t>CR96010200009545049248</t>
  </si>
  <si>
    <t>JUAN ESPINOZA</t>
  </si>
  <si>
    <t>david martinez</t>
  </si>
  <si>
    <t>JEAN PIERRE</t>
  </si>
  <si>
    <t>MARVIN ANTONIO DIAZ</t>
  </si>
  <si>
    <t>ISMAEL FLORES</t>
  </si>
  <si>
    <t>DONALD JOSE LOPEZ HERNANDEZ</t>
  </si>
  <si>
    <t>CR60010200009527292591</t>
  </si>
  <si>
    <t xml:space="preserve"> ALAN LOPEZ</t>
  </si>
  <si>
    <t>DONALD LOPEZ</t>
  </si>
  <si>
    <t>KEVIN ORDOÑEZ</t>
  </si>
  <si>
    <t>NOEL ANTONIO GUZMAN</t>
  </si>
  <si>
    <t>ISAI HONDOY</t>
  </si>
  <si>
    <t>DAVID CHAVEZ</t>
  </si>
  <si>
    <t>FRANCISCO JAVIER AQUINN</t>
  </si>
  <si>
    <t>CR91010200009494526015</t>
  </si>
  <si>
    <t>ELVIN CALERO</t>
  </si>
  <si>
    <t>JOHNNY ECHEVERRIA</t>
  </si>
  <si>
    <t>JOSE LOPEZ</t>
  </si>
  <si>
    <t>HORAS DE 2000</t>
  </si>
  <si>
    <t>LESGAR GUTIERREZ</t>
  </si>
  <si>
    <t>JASSON MARTINEZ</t>
  </si>
  <si>
    <t>MANUEL LOPEZ DAVILA</t>
  </si>
  <si>
    <t>PEDRO CENTENO</t>
  </si>
  <si>
    <t>JOHNNY HERNANDEZ</t>
  </si>
  <si>
    <t>ALEXANDER GUEVARA</t>
  </si>
  <si>
    <t>CRISTIAN JOEL GARCIA</t>
  </si>
  <si>
    <t>SINPE 62009312</t>
  </si>
  <si>
    <t>JOSEFATH ANTONIO CASTELLON</t>
  </si>
  <si>
    <t>SINPE 71769485</t>
  </si>
  <si>
    <t>MARIA MENESE</t>
  </si>
  <si>
    <t>JOSE MANUEL LOPEZ</t>
  </si>
  <si>
    <t>JAIRO ESPINOZA</t>
  </si>
  <si>
    <t xml:space="preserve">CARLOS </t>
  </si>
  <si>
    <t>tarjeta igual que vez pasada</t>
  </si>
  <si>
    <t>DONJORG</t>
  </si>
  <si>
    <t>FS GRUPO CONSTRUCTOR S.A. SEMANA 1</t>
  </si>
  <si>
    <t>FS GRUPO CONSTRUCTOR S.A. SEMANA 2</t>
  </si>
  <si>
    <t xml:space="preserve">ADICIONALES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</si>
</sst>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₡&quot;* #,##0.00_-;\-&quot;₡&quot;* #,##0.00_-;_-&quot;₡&quot;* &quot;-&quot;??_-;_-@_-"/>
    <numFmt numFmtId="164" formatCode="_-[$₡-140A]* #,##0.00_-;\-[$₡-140A]* #,##0.00_-;_-[$₡-140A]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8"/>
      <name val="Arial"/>
      <family val="2"/>
    </font>
    <font>
      <b/>
      <sz val="14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i/>
      <u/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B2B2B2"/>
      </top>
      <bottom style="thin">
        <color rgb="FFB2B2B2"/>
      </bottom>
      <diagonal/>
    </border>
    <border>
      <left/>
      <right style="thick">
        <color indexed="64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146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4" fontId="5" fillId="4" borderId="12" xfId="0" applyNumberFormat="1" applyFont="1" applyFill="1" applyBorder="1" applyAlignment="1">
      <alignment vertical="center"/>
    </xf>
    <xf numFmtId="44" fontId="2" fillId="0" borderId="0" xfId="0" applyNumberFormat="1" applyFont="1"/>
    <xf numFmtId="44" fontId="5" fillId="0" borderId="0" xfId="0" applyNumberFormat="1" applyFont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vertical="center"/>
    </xf>
    <xf numFmtId="0" fontId="6" fillId="3" borderId="17" xfId="0" applyFont="1" applyFill="1" applyBorder="1" applyAlignment="1">
      <alignment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/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0" fontId="6" fillId="3" borderId="20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5" xfId="0" applyFont="1" applyBorder="1"/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6" xfId="0" applyFont="1" applyBorder="1"/>
    <xf numFmtId="0" fontId="2" fillId="0" borderId="30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6" borderId="0" xfId="0" applyFont="1" applyFill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/>
    </xf>
    <xf numFmtId="44" fontId="2" fillId="8" borderId="0" xfId="1" applyFont="1" applyFill="1" applyBorder="1" applyAlignment="1">
      <alignment horizontal="center" vertical="center"/>
    </xf>
    <xf numFmtId="164" fontId="2" fillId="9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4" fontId="2" fillId="8" borderId="0" xfId="1" applyFont="1" applyFill="1" applyBorder="1" applyAlignment="1">
      <alignment horizontal="center"/>
    </xf>
    <xf numFmtId="44" fontId="2" fillId="10" borderId="32" xfId="0" applyNumberFormat="1" applyFont="1" applyFill="1" applyBorder="1"/>
    <xf numFmtId="164" fontId="2" fillId="11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27" xfId="0" applyFont="1" applyBorder="1"/>
    <xf numFmtId="0" fontId="2" fillId="0" borderId="33" xfId="0" applyFont="1" applyBorder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4" fontId="2" fillId="10" borderId="0" xfId="0" applyNumberFormat="1" applyFont="1" applyFill="1"/>
    <xf numFmtId="0" fontId="2" fillId="0" borderId="39" xfId="2" applyFont="1" applyFill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0" fontId="2" fillId="0" borderId="40" xfId="2" applyFont="1" applyFill="1" applyBorder="1"/>
    <xf numFmtId="0" fontId="2" fillId="0" borderId="40" xfId="2" applyFont="1" applyFill="1" applyBorder="1" applyAlignment="1">
      <alignment vertical="center"/>
    </xf>
    <xf numFmtId="0" fontId="2" fillId="0" borderId="38" xfId="2" applyFont="1" applyFill="1" applyBorder="1" applyAlignment="1">
      <alignment horizontal="center" vertical="center"/>
    </xf>
    <xf numFmtId="164" fontId="2" fillId="7" borderId="0" xfId="2" applyNumberFormat="1" applyFont="1" applyFill="1" applyBorder="1" applyAlignment="1">
      <alignment horizontal="center" vertical="center"/>
    </xf>
    <xf numFmtId="164" fontId="2" fillId="0" borderId="0" xfId="2" applyNumberFormat="1" applyFont="1" applyFill="1" applyBorder="1" applyAlignment="1"/>
    <xf numFmtId="164" fontId="2" fillId="5" borderId="0" xfId="0" applyNumberFormat="1" applyFont="1" applyFill="1" applyAlignment="1">
      <alignment horizontal="center" vertical="center"/>
    </xf>
    <xf numFmtId="164" fontId="2" fillId="9" borderId="0" xfId="2" applyNumberFormat="1" applyFont="1" applyFill="1" applyBorder="1" applyAlignment="1">
      <alignment horizontal="center" vertical="center"/>
    </xf>
    <xf numFmtId="164" fontId="2" fillId="0" borderId="0" xfId="2" applyNumberFormat="1" applyFont="1" applyFill="1" applyBorder="1" applyAlignment="1">
      <alignment horizontal="center" vertical="center"/>
    </xf>
    <xf numFmtId="0" fontId="2" fillId="5" borderId="0" xfId="2" applyFon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8" xfId="0" applyFont="1" applyBorder="1"/>
    <xf numFmtId="0" fontId="2" fillId="0" borderId="34" xfId="2" applyFont="1" applyFill="1" applyBorder="1" applyAlignment="1">
      <alignment horizontal="center" vertical="center"/>
    </xf>
    <xf numFmtId="0" fontId="2" fillId="0" borderId="35" xfId="2" applyFont="1" applyFill="1" applyBorder="1" applyAlignment="1">
      <alignment horizontal="center" vertical="center"/>
    </xf>
    <xf numFmtId="0" fontId="2" fillId="0" borderId="36" xfId="2" applyFont="1" applyFill="1" applyBorder="1" applyAlignment="1">
      <alignment horizontal="center" vertical="center"/>
    </xf>
    <xf numFmtId="164" fontId="2" fillId="8" borderId="0" xfId="2" applyNumberFormat="1" applyFont="1" applyFill="1" applyBorder="1" applyAlignment="1">
      <alignment horizontal="center"/>
    </xf>
    <xf numFmtId="164" fontId="2" fillId="8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20" xfId="0" applyFont="1" applyBorder="1"/>
    <xf numFmtId="0" fontId="2" fillId="0" borderId="43" xfId="0" applyFont="1" applyBorder="1"/>
    <xf numFmtId="0" fontId="2" fillId="0" borderId="33" xfId="0" applyFont="1" applyBorder="1" applyAlignment="1">
      <alignment vertical="center"/>
    </xf>
    <xf numFmtId="0" fontId="2" fillId="0" borderId="30" xfId="0" applyFont="1" applyBorder="1"/>
    <xf numFmtId="44" fontId="2" fillId="0" borderId="0" xfId="1" applyFont="1" applyFill="1" applyBorder="1"/>
    <xf numFmtId="0" fontId="2" fillId="0" borderId="43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44" fontId="2" fillId="0" borderId="0" xfId="1" applyFont="1" applyFill="1" applyBorder="1" applyAlignment="1">
      <alignment horizontal="center" vertical="center"/>
    </xf>
    <xf numFmtId="44" fontId="2" fillId="0" borderId="0" xfId="1" applyFont="1" applyFill="1" applyBorder="1" applyAlignment="1">
      <alignment vertical="center"/>
    </xf>
    <xf numFmtId="0" fontId="2" fillId="10" borderId="0" xfId="0" applyFont="1" applyFill="1"/>
    <xf numFmtId="0" fontId="2" fillId="0" borderId="20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left" vertical="center"/>
    </xf>
    <xf numFmtId="0" fontId="2" fillId="0" borderId="46" xfId="0" applyFont="1" applyBorder="1"/>
    <xf numFmtId="0" fontId="2" fillId="0" borderId="48" xfId="0" applyFont="1" applyBorder="1"/>
    <xf numFmtId="0" fontId="2" fillId="0" borderId="45" xfId="0" applyFont="1" applyBorder="1"/>
    <xf numFmtId="0" fontId="2" fillId="0" borderId="49" xfId="0" applyFont="1" applyBorder="1"/>
    <xf numFmtId="0" fontId="2" fillId="0" borderId="47" xfId="0" applyFont="1" applyBorder="1" applyAlignment="1">
      <alignment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44" fontId="2" fillId="8" borderId="0" xfId="1" applyFont="1" applyFill="1" applyBorder="1"/>
    <xf numFmtId="0" fontId="2" fillId="0" borderId="51" xfId="0" applyFont="1" applyBorder="1"/>
  </cellXfs>
  <cellStyles count="3">
    <cellStyle name="Moneda" xfId="1" builtinId="4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1955800</xdr:colOff>
      <xdr:row>2</xdr:row>
      <xdr:rowOff>145691</xdr:rowOff>
    </xdr:from>
    <xdr:to>
      <xdr:col>2</xdr:col>
      <xdr:colOff>2674620</xdr:colOff>
      <xdr:row>2</xdr:row>
      <xdr:rowOff>1135380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1696136-CC51-406B-8BF4-26030383A91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71900" y="780691"/>
          <a:ext cx="718820" cy="989689"/>
        </a:xfrm>
        <a:prstGeom prst="rect">
          <a:avLst/>
        </a:prstGeom>
      </xdr:spPr>
    </xdr:pic>
    <xdr:clientData/>
  </xdr:twoCellAnchor>
  <xdr:oneCellAnchor>
    <xdr:from>
      <xdr:col>16</xdr:col>
      <xdr:colOff>1682750</xdr:colOff>
      <xdr:row>2</xdr:row>
      <xdr:rowOff>159024</xdr:rowOff>
    </xdr:from>
    <xdr:ext cx="800100" cy="977900"/>
    <xdr:pic>
      <xdr:nvPicPr>
        <xdr:cNvPr id="3" name="image1.jpeg">
          <a:extLst>
            <a:ext uri="{FF2B5EF4-FFF2-40B4-BE49-F238E27FC236}">
              <a16:creationId xmlns:a16="http://schemas.microsoft.com/office/drawing/2014/main" id="{F590397D-F09B-4674-B27C-5C58273C3054}"/>
            </a:ext>
            <a:ext uri="{147F2762-F138-4A5C-976F-8EAC2B608ADB}">
              <a16:predDERef xmlns:a16="http://schemas.microsoft.com/office/drawing/2014/main" pred="{0240A042-C5CD-8F47-92B8-87591A96E53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27650" y="794024"/>
          <a:ext cx="800100" cy="977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B70A-A5FA-491A-8014-570E92984E69}">
  <sheetPr>
    <pageSetUpPr fitToPage="1"/>
  </sheetPr>
  <dimension ref="B2:XFD41"/>
  <sheetViews>
    <sheetView showGridLines="0" tabSelected="1" topLeftCell="O1" zoomScale="55" zoomScaleNormal="55" workbookViewId="0">
      <selection activeCell="AC6" sqref="AC6"/>
    </sheetView>
  </sheetViews>
  <sheetFormatPr baseColWidth="10" defaultColWidth="11.453125" defaultRowHeight="25.25" customHeight="1" x14ac:dyDescent="0.35"/>
  <cols>
    <col min="1" max="1" width="11.453125" style="1"/>
    <col min="2" max="2" width="14.54296875" style="1" customWidth="1"/>
    <col min="3" max="3" width="42.6328125" style="1" customWidth="1"/>
    <col min="4" max="4" width="31.90625" style="1" hidden="1" customWidth="1"/>
    <col min="5" max="5" width="32" style="1" hidden="1" customWidth="1"/>
    <col min="6" max="6" width="11.81640625" style="1" hidden="1" customWidth="1"/>
    <col min="7" max="7" width="18" style="1" customWidth="1"/>
    <col min="8" max="8" width="16.1796875" style="1" customWidth="1"/>
    <col min="9" max="9" width="17.6328125" style="1" bestFit="1" customWidth="1"/>
    <col min="10" max="10" width="16.1796875" style="1" bestFit="1" customWidth="1"/>
    <col min="11" max="11" width="16.81640625" style="1" customWidth="1"/>
    <col min="12" max="12" width="14.08984375" style="1" bestFit="1" customWidth="1"/>
    <col min="13" max="13" width="15.1796875" style="1" customWidth="1"/>
    <col min="14" max="14" width="14.81640625" style="1" customWidth="1"/>
    <col min="15" max="15" width="12.81640625" style="1" customWidth="1"/>
    <col min="16" max="16" width="23.6328125" style="1" customWidth="1"/>
    <col min="17" max="17" width="43.08984375" style="1" customWidth="1"/>
    <col min="18" max="18" width="32" style="1" hidden="1" customWidth="1"/>
    <col min="19" max="19" width="32.1796875" style="1" hidden="1" customWidth="1"/>
    <col min="20" max="20" width="32" style="1" hidden="1" customWidth="1"/>
    <col min="21" max="21" width="15.90625" style="1" bestFit="1" customWidth="1"/>
    <col min="22" max="22" width="15.1796875" style="1" customWidth="1"/>
    <col min="23" max="23" width="17.6328125" style="1" bestFit="1" customWidth="1"/>
    <col min="24" max="24" width="16.1796875" style="1" bestFit="1" customWidth="1"/>
    <col min="25" max="26" width="15.1796875" style="1" customWidth="1"/>
    <col min="27" max="27" width="18.1796875" style="1" customWidth="1"/>
    <col min="28" max="28" width="19.1796875" style="1" customWidth="1"/>
    <col min="29" max="29" width="42.36328125" style="1" bestFit="1" customWidth="1"/>
    <col min="30" max="30" width="22.81640625" style="1" customWidth="1"/>
    <col min="31" max="31" width="22.6328125" style="1" customWidth="1"/>
    <col min="32" max="32" width="23.81640625" style="1" bestFit="1" customWidth="1"/>
    <col min="33" max="33" width="20.81640625" style="1" customWidth="1"/>
    <col min="34" max="34" width="19.6328125" style="1" customWidth="1"/>
    <col min="35" max="35" width="30.90625" style="1" customWidth="1"/>
    <col min="36" max="36" width="14.36328125" style="1" bestFit="1" customWidth="1"/>
    <col min="37" max="37" width="16.1796875" style="1" customWidth="1"/>
    <col min="38" max="44" width="11.453125" style="1"/>
    <col min="45" max="45" width="38.08984375" style="1" hidden="1" customWidth="1"/>
    <col min="46" max="46" width="0" style="1" hidden="1" customWidth="1"/>
    <col min="47" max="47" width="16.81640625" style="1" hidden="1" customWidth="1"/>
    <col min="48" max="48" width="21.6328125" style="1" hidden="1" customWidth="1"/>
    <col min="49" max="49" width="12.81640625" style="1" hidden="1" customWidth="1"/>
    <col min="50" max="50" width="20.54296875" style="1" hidden="1" customWidth="1"/>
    <col min="51" max="52" width="18.1796875" style="1" hidden="1" customWidth="1"/>
    <col min="53" max="53" width="29.08984375" style="1" hidden="1" customWidth="1"/>
    <col min="54" max="54" width="0" style="1" hidden="1" customWidth="1"/>
    <col min="55" max="55" width="30.1796875" style="1" hidden="1" customWidth="1"/>
    <col min="56" max="16384" width="11.453125" style="1"/>
  </cols>
  <sheetData>
    <row r="2" spans="2:59 16384:16384" ht="25.25" customHeight="1" thickBot="1" x14ac:dyDescent="0.4"/>
    <row r="3" spans="2:59 16384:16384" ht="96.65" customHeight="1" thickTop="1" thickBot="1" x14ac:dyDescent="0.4">
      <c r="B3" s="2" t="s">
        <v>81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5"/>
      <c r="P3" s="2" t="s">
        <v>82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4"/>
    </row>
    <row r="4" spans="2:59 16384:16384" ht="33.65" customHeight="1" thickTop="1" thickBot="1" x14ac:dyDescent="0.4">
      <c r="B4" s="6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  <c r="O4" s="5"/>
      <c r="P4" s="9" t="s">
        <v>0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5"/>
    </row>
    <row r="5" spans="2:59 16384:16384" ht="32.75" customHeight="1" thickTop="1" thickBot="1" x14ac:dyDescent="0.4">
      <c r="B5" s="11" t="s">
        <v>1</v>
      </c>
      <c r="C5" s="12" t="s">
        <v>2</v>
      </c>
      <c r="D5" s="13"/>
      <c r="E5" s="13"/>
      <c r="F5" s="14"/>
      <c r="G5" s="15" t="s">
        <v>3</v>
      </c>
      <c r="H5" s="16" t="s">
        <v>4</v>
      </c>
      <c r="I5" s="17">
        <v>45250</v>
      </c>
      <c r="J5" s="18"/>
      <c r="K5" s="15" t="s">
        <v>5</v>
      </c>
      <c r="L5" s="17">
        <v>45256</v>
      </c>
      <c r="M5" s="19"/>
      <c r="N5" s="18"/>
      <c r="P5" s="20" t="s">
        <v>1</v>
      </c>
      <c r="Q5" s="21" t="s">
        <v>2</v>
      </c>
      <c r="R5" s="22"/>
      <c r="S5" s="22"/>
      <c r="T5" s="23"/>
      <c r="U5" s="24" t="s">
        <v>3</v>
      </c>
      <c r="V5" s="24" t="s">
        <v>4</v>
      </c>
      <c r="W5" s="17">
        <v>45250</v>
      </c>
      <c r="X5" s="19"/>
      <c r="Y5" s="18"/>
      <c r="Z5" s="25" t="s">
        <v>5</v>
      </c>
      <c r="AA5" s="17">
        <v>45256</v>
      </c>
      <c r="AB5" s="18"/>
      <c r="AE5" s="26" t="s">
        <v>6</v>
      </c>
      <c r="AF5" s="27">
        <f>SUM(AF8:AF37)+SUM(AG8:AG37)</f>
        <v>2053276</v>
      </c>
      <c r="AG5" s="28"/>
      <c r="AU5" s="26"/>
      <c r="AV5" s="29"/>
    </row>
    <row r="6" spans="2:59 16384:16384" ht="29.15" customHeight="1" thickTop="1" thickBot="1" x14ac:dyDescent="0.4">
      <c r="B6" s="30" t="s">
        <v>7</v>
      </c>
      <c r="C6" s="31" t="s">
        <v>8</v>
      </c>
      <c r="D6" s="32"/>
      <c r="E6" s="32"/>
      <c r="F6" s="32"/>
      <c r="G6" s="33" t="s">
        <v>9</v>
      </c>
      <c r="H6" s="34"/>
      <c r="I6" s="34"/>
      <c r="J6" s="34"/>
      <c r="K6" s="34"/>
      <c r="L6" s="34"/>
      <c r="M6" s="35"/>
      <c r="N6" s="36" t="s">
        <v>10</v>
      </c>
      <c r="P6" s="37" t="s">
        <v>7</v>
      </c>
      <c r="Q6" s="38" t="s">
        <v>8</v>
      </c>
      <c r="R6" s="39"/>
      <c r="S6" s="39"/>
      <c r="T6" s="40"/>
      <c r="U6" s="41" t="s">
        <v>9</v>
      </c>
      <c r="V6" s="32"/>
      <c r="W6" s="32"/>
      <c r="X6" s="32"/>
      <c r="Y6" s="32"/>
      <c r="Z6" s="32"/>
      <c r="AA6" s="42"/>
      <c r="AB6" s="36" t="s">
        <v>10</v>
      </c>
      <c r="AD6" s="43" t="s">
        <v>10</v>
      </c>
      <c r="AE6" s="43" t="s">
        <v>11</v>
      </c>
      <c r="AF6" s="44" t="s">
        <v>12</v>
      </c>
      <c r="AG6" s="45" t="s">
        <v>83</v>
      </c>
      <c r="AH6" s="46"/>
      <c r="AI6" s="47"/>
      <c r="AJ6" s="47"/>
      <c r="AT6" s="43" t="s">
        <v>13</v>
      </c>
      <c r="AU6" s="43" t="s">
        <v>11</v>
      </c>
      <c r="AV6" s="43" t="s">
        <v>14</v>
      </c>
      <c r="AW6" s="43" t="s">
        <v>15</v>
      </c>
      <c r="AX6" s="43" t="s">
        <v>11</v>
      </c>
      <c r="AY6" s="43" t="s">
        <v>16</v>
      </c>
      <c r="AZ6" s="43" t="s">
        <v>6</v>
      </c>
      <c r="BA6" s="48" t="s">
        <v>17</v>
      </c>
      <c r="BB6" s="49"/>
      <c r="BE6" s="48"/>
      <c r="BF6" s="48"/>
      <c r="BG6" s="47"/>
    </row>
    <row r="7" spans="2:59 16384:16384" ht="29.15" customHeight="1" thickTop="1" thickBot="1" x14ac:dyDescent="0.4">
      <c r="B7" s="50"/>
      <c r="C7" s="51" t="s">
        <v>18</v>
      </c>
      <c r="D7" s="52" t="s">
        <v>19</v>
      </c>
      <c r="E7" s="52" t="s">
        <v>20</v>
      </c>
      <c r="F7" s="52" t="s">
        <v>21</v>
      </c>
      <c r="G7" s="53" t="s">
        <v>22</v>
      </c>
      <c r="H7" s="54" t="s">
        <v>23</v>
      </c>
      <c r="I7" s="54" t="s">
        <v>24</v>
      </c>
      <c r="J7" s="54" t="s">
        <v>25</v>
      </c>
      <c r="K7" s="54" t="s">
        <v>26</v>
      </c>
      <c r="L7" s="55" t="s">
        <v>27</v>
      </c>
      <c r="M7" s="55" t="s">
        <v>28</v>
      </c>
      <c r="N7" s="56"/>
      <c r="P7" s="37"/>
      <c r="Q7" s="57" t="s">
        <v>18</v>
      </c>
      <c r="R7" s="52" t="s">
        <v>19</v>
      </c>
      <c r="S7" s="52" t="s">
        <v>29</v>
      </c>
      <c r="T7" s="52" t="s">
        <v>21</v>
      </c>
      <c r="U7" s="57" t="s">
        <v>22</v>
      </c>
      <c r="V7" s="57" t="s">
        <v>23</v>
      </c>
      <c r="W7" s="57" t="s">
        <v>24</v>
      </c>
      <c r="X7" s="57" t="s">
        <v>25</v>
      </c>
      <c r="Y7" s="57" t="s">
        <v>26</v>
      </c>
      <c r="Z7" s="57" t="s">
        <v>27</v>
      </c>
      <c r="AA7" s="57" t="s">
        <v>28</v>
      </c>
      <c r="AB7" s="58"/>
      <c r="AD7" s="59"/>
      <c r="AE7" s="59"/>
      <c r="AF7" s="60"/>
      <c r="AG7" s="45"/>
      <c r="AH7" s="46"/>
      <c r="AI7" s="61" t="s">
        <v>30</v>
      </c>
      <c r="AT7" s="59"/>
      <c r="AU7" s="59"/>
      <c r="AV7" s="59"/>
      <c r="AW7" s="59"/>
      <c r="AX7" s="59"/>
      <c r="AY7" s="59"/>
      <c r="AZ7" s="59"/>
      <c r="BA7" s="48"/>
      <c r="BB7" s="49"/>
      <c r="BC7" s="61" t="s">
        <v>30</v>
      </c>
      <c r="BE7" s="48"/>
      <c r="BF7" s="48"/>
      <c r="BG7" s="61"/>
    </row>
    <row r="8" spans="2:59 16384:16384" ht="25.25" customHeight="1" thickTop="1" thickBot="1" x14ac:dyDescent="0.4">
      <c r="B8" s="62">
        <v>1</v>
      </c>
      <c r="C8" s="63" t="s">
        <v>31</v>
      </c>
      <c r="D8" s="64"/>
      <c r="E8" s="64"/>
      <c r="F8" s="64"/>
      <c r="G8" s="65"/>
      <c r="H8" s="66"/>
      <c r="I8" s="66"/>
      <c r="J8" s="66"/>
      <c r="K8" s="66"/>
      <c r="L8" s="66"/>
      <c r="M8" s="67"/>
      <c r="N8" s="68">
        <f t="shared" ref="N8:N36" si="0">SUM(G8:M8)</f>
        <v>0</v>
      </c>
      <c r="O8" s="69"/>
      <c r="P8" s="70">
        <f>B8</f>
        <v>1</v>
      </c>
      <c r="Q8" s="71" t="str">
        <f t="shared" ref="Q8:T23" si="1">C8</f>
        <v>JOSE MANUEL LOPEZ HERNANDEZ</v>
      </c>
      <c r="R8" s="72">
        <f t="shared" si="1"/>
        <v>0</v>
      </c>
      <c r="S8" s="72">
        <f t="shared" si="1"/>
        <v>0</v>
      </c>
      <c r="T8" s="72">
        <f t="shared" si="1"/>
        <v>0</v>
      </c>
      <c r="U8" s="65"/>
      <c r="V8" s="65"/>
      <c r="W8" s="66"/>
      <c r="X8" s="66"/>
      <c r="Y8" s="66"/>
      <c r="Z8" s="66"/>
      <c r="AA8" s="73"/>
      <c r="AB8" s="68">
        <f>SUM(U8:AA8)</f>
        <v>0</v>
      </c>
      <c r="AC8" s="74" t="str">
        <f t="shared" ref="AC8:AC33" si="2">Q8</f>
        <v>JOSE MANUEL LOPEZ HERNANDEZ</v>
      </c>
      <c r="AD8" s="75">
        <v>2</v>
      </c>
      <c r="AE8" s="76">
        <v>200000</v>
      </c>
      <c r="AF8" s="77">
        <f>(AD8*AE8)</f>
        <v>400000</v>
      </c>
      <c r="AG8" s="78">
        <f>16000+20900</f>
        <v>36900</v>
      </c>
      <c r="AH8" s="79"/>
      <c r="AI8" s="80" t="s">
        <v>32</v>
      </c>
      <c r="AS8" s="74" t="str">
        <f>AC8</f>
        <v>JOSE MANUEL LOPEZ HERNANDEZ</v>
      </c>
      <c r="AT8" s="75">
        <f t="shared" ref="AT8:AT33" si="3">AR8+AD8</f>
        <v>2</v>
      </c>
      <c r="AU8" s="76">
        <f>180000</f>
        <v>180000</v>
      </c>
      <c r="AV8" s="81">
        <f>(AU8)</f>
        <v>180000</v>
      </c>
      <c r="AW8" s="75">
        <v>0</v>
      </c>
      <c r="AX8" s="76">
        <f>180000</f>
        <v>180000</v>
      </c>
      <c r="AY8" s="81">
        <f>(AX8)</f>
        <v>180000</v>
      </c>
      <c r="AZ8" s="82">
        <f>AV8+AY8</f>
        <v>360000</v>
      </c>
      <c r="BA8" s="83">
        <f>AG8</f>
        <v>36900</v>
      </c>
      <c r="BC8" s="84"/>
      <c r="BE8" s="85"/>
      <c r="BF8" s="79"/>
      <c r="BG8" s="84"/>
      <c r="XFD8" s="86">
        <v>10</v>
      </c>
    </row>
    <row r="9" spans="2:59 16384:16384" ht="25.25" customHeight="1" thickTop="1" thickBot="1" x14ac:dyDescent="0.4">
      <c r="B9" s="70">
        <v>2</v>
      </c>
      <c r="C9" s="63" t="s">
        <v>33</v>
      </c>
      <c r="D9" s="87"/>
      <c r="E9" s="87"/>
      <c r="F9" s="87"/>
      <c r="G9" s="88">
        <v>6</v>
      </c>
      <c r="H9" s="89">
        <v>10</v>
      </c>
      <c r="I9" s="89">
        <v>10</v>
      </c>
      <c r="J9" s="89">
        <v>12</v>
      </c>
      <c r="K9" s="89">
        <v>12</v>
      </c>
      <c r="L9" s="89">
        <v>12</v>
      </c>
      <c r="M9" s="90">
        <v>10</v>
      </c>
      <c r="N9" s="68">
        <f>SUM(G9:M9)</f>
        <v>72</v>
      </c>
      <c r="O9" s="69"/>
      <c r="P9" s="70">
        <f t="shared" ref="P9:T36" si="4">B9</f>
        <v>2</v>
      </c>
      <c r="Q9" s="91" t="str">
        <f t="shared" si="1"/>
        <v>JOSE FLORES LOPEZ</v>
      </c>
      <c r="R9" s="92">
        <f t="shared" si="1"/>
        <v>0</v>
      </c>
      <c r="S9" s="92">
        <f t="shared" si="1"/>
        <v>0</v>
      </c>
      <c r="T9" s="92">
        <f t="shared" si="1"/>
        <v>0</v>
      </c>
      <c r="U9" s="88">
        <v>12</v>
      </c>
      <c r="V9" s="88">
        <v>12</v>
      </c>
      <c r="W9" s="89">
        <v>15</v>
      </c>
      <c r="X9" s="89">
        <v>11.5</v>
      </c>
      <c r="Y9" s="89">
        <v>11.5</v>
      </c>
      <c r="Z9" s="66"/>
      <c r="AA9" s="93"/>
      <c r="AB9" s="68">
        <f>SUM(U9:AA9)</f>
        <v>62</v>
      </c>
      <c r="AC9" s="74" t="str">
        <f t="shared" si="2"/>
        <v>JOSE FLORES LOPEZ</v>
      </c>
      <c r="AD9" s="75">
        <f>AB9+N9</f>
        <v>134</v>
      </c>
      <c r="AE9" s="76">
        <v>2000</v>
      </c>
      <c r="AF9" s="77">
        <f t="shared" ref="AF9:AF36" si="5">(AD9*AE9)</f>
        <v>268000</v>
      </c>
      <c r="AG9" s="78">
        <v>40000</v>
      </c>
      <c r="AH9" s="79"/>
      <c r="AI9" s="80" t="s">
        <v>34</v>
      </c>
      <c r="AS9" s="74" t="str">
        <f t="shared" ref="AS9:AS37" si="6">AC9</f>
        <v>JOSE FLORES LOPEZ</v>
      </c>
      <c r="AT9" s="75">
        <f t="shared" si="3"/>
        <v>134</v>
      </c>
      <c r="AU9" s="76">
        <v>1800</v>
      </c>
      <c r="AV9" s="81">
        <f>AT9*AU9</f>
        <v>241200</v>
      </c>
      <c r="AW9" s="75">
        <f>11+11+11+11+11+8</f>
        <v>63</v>
      </c>
      <c r="AX9" s="76">
        <v>1800</v>
      </c>
      <c r="AY9" s="81">
        <f>AW9*AX9</f>
        <v>113400</v>
      </c>
      <c r="AZ9" s="94">
        <f t="shared" ref="AZ9:AZ33" si="7">AV9+AY9</f>
        <v>354600</v>
      </c>
      <c r="BC9" s="80" t="s">
        <v>34</v>
      </c>
      <c r="BF9" s="79"/>
      <c r="BG9" s="84"/>
    </row>
    <row r="10" spans="2:59 16384:16384" ht="25.25" hidden="1" customHeight="1" x14ac:dyDescent="0.4">
      <c r="B10" s="95">
        <v>3</v>
      </c>
      <c r="C10" s="63" t="s">
        <v>35</v>
      </c>
      <c r="D10" s="97"/>
      <c r="E10" s="97"/>
      <c r="F10" s="97"/>
      <c r="G10" s="88"/>
      <c r="H10" s="89"/>
      <c r="I10" s="89"/>
      <c r="J10" s="89"/>
      <c r="K10" s="89"/>
      <c r="L10" s="89"/>
      <c r="M10" s="90"/>
      <c r="N10" s="68">
        <f t="shared" si="0"/>
        <v>0</v>
      </c>
      <c r="O10" s="69"/>
      <c r="P10" s="70">
        <f t="shared" si="4"/>
        <v>3</v>
      </c>
      <c r="Q10" s="98" t="str">
        <f t="shared" si="1"/>
        <v>SIDNEY GOMEZ</v>
      </c>
      <c r="R10" s="92">
        <f t="shared" si="1"/>
        <v>0</v>
      </c>
      <c r="S10" s="92">
        <f t="shared" si="1"/>
        <v>0</v>
      </c>
      <c r="T10" s="92">
        <f t="shared" si="1"/>
        <v>0</v>
      </c>
      <c r="U10" s="88"/>
      <c r="V10" s="88"/>
      <c r="W10" s="89"/>
      <c r="X10" s="89"/>
      <c r="Y10" s="89"/>
      <c r="Z10" s="66"/>
      <c r="AA10" s="99"/>
      <c r="AB10" s="68">
        <f t="shared" ref="AB10:AB37" si="8">SUM(U10:AA10)</f>
        <v>0</v>
      </c>
      <c r="AC10" s="74" t="str">
        <f t="shared" si="2"/>
        <v>SIDNEY GOMEZ</v>
      </c>
      <c r="AD10" s="75">
        <f t="shared" ref="AD10:AD34" si="9">AB10+N10</f>
        <v>0</v>
      </c>
      <c r="AE10" s="100">
        <v>1700</v>
      </c>
      <c r="AF10" s="77">
        <f t="shared" si="5"/>
        <v>0</v>
      </c>
      <c r="AG10" s="101"/>
      <c r="AH10" s="79"/>
      <c r="AI10" s="79" t="s">
        <v>36</v>
      </c>
      <c r="AS10" s="74" t="str">
        <f t="shared" si="6"/>
        <v>SIDNEY GOMEZ</v>
      </c>
      <c r="AT10" s="75">
        <f t="shared" si="3"/>
        <v>0</v>
      </c>
      <c r="AU10" s="100">
        <v>1700</v>
      </c>
      <c r="AV10" s="81">
        <f>AT10*AU10</f>
        <v>0</v>
      </c>
      <c r="AW10" s="75">
        <v>0</v>
      </c>
      <c r="AX10" s="100">
        <v>1700</v>
      </c>
      <c r="AY10" s="81">
        <f>AW10*AX10</f>
        <v>0</v>
      </c>
      <c r="AZ10" s="94">
        <f t="shared" si="7"/>
        <v>0</v>
      </c>
      <c r="BA10" s="74" t="s">
        <v>37</v>
      </c>
      <c r="BC10" s="102" t="s">
        <v>36</v>
      </c>
      <c r="BE10" s="101"/>
      <c r="BF10" s="79"/>
      <c r="BG10" s="79"/>
    </row>
    <row r="11" spans="2:59 16384:16384" ht="25.25" customHeight="1" thickTop="1" thickBot="1" x14ac:dyDescent="0.4">
      <c r="B11" s="70">
        <v>4</v>
      </c>
      <c r="C11" s="63" t="s">
        <v>38</v>
      </c>
      <c r="D11" s="87"/>
      <c r="E11" s="87"/>
      <c r="F11" s="87"/>
      <c r="G11" s="88">
        <v>6</v>
      </c>
      <c r="H11" s="89">
        <v>10</v>
      </c>
      <c r="I11" s="89">
        <v>10</v>
      </c>
      <c r="J11" s="89">
        <v>12</v>
      </c>
      <c r="K11" s="89">
        <v>12</v>
      </c>
      <c r="L11" s="89">
        <v>12</v>
      </c>
      <c r="M11" s="90">
        <v>10</v>
      </c>
      <c r="N11" s="68">
        <f t="shared" si="0"/>
        <v>72</v>
      </c>
      <c r="O11" s="69"/>
      <c r="P11" s="70">
        <f t="shared" si="4"/>
        <v>4</v>
      </c>
      <c r="Q11" s="91" t="str">
        <f t="shared" si="1"/>
        <v>ELMER ARIAS LOPEZ</v>
      </c>
      <c r="R11" s="92">
        <f t="shared" si="1"/>
        <v>0</v>
      </c>
      <c r="S11" s="92">
        <f t="shared" si="1"/>
        <v>0</v>
      </c>
      <c r="T11" s="92">
        <f t="shared" si="1"/>
        <v>0</v>
      </c>
      <c r="U11" s="88">
        <v>12</v>
      </c>
      <c r="V11" s="88">
        <v>12</v>
      </c>
      <c r="W11" s="89">
        <v>15</v>
      </c>
      <c r="X11" s="89">
        <v>11.5</v>
      </c>
      <c r="Y11" s="89">
        <v>11.5</v>
      </c>
      <c r="Z11" s="66"/>
      <c r="AA11" s="93"/>
      <c r="AB11" s="68">
        <f t="shared" si="8"/>
        <v>62</v>
      </c>
      <c r="AC11" s="74" t="str">
        <f t="shared" si="2"/>
        <v>ELMER ARIAS LOPEZ</v>
      </c>
      <c r="AD11" s="75">
        <f>AB11+N11</f>
        <v>134</v>
      </c>
      <c r="AE11" s="76">
        <v>1600</v>
      </c>
      <c r="AF11" s="77">
        <f t="shared" si="5"/>
        <v>214400</v>
      </c>
      <c r="AG11" s="103">
        <v>40000</v>
      </c>
      <c r="AH11" s="79"/>
      <c r="AI11" s="102" t="s">
        <v>39</v>
      </c>
      <c r="AJ11" s="79"/>
      <c r="AS11" s="74" t="str">
        <f t="shared" si="6"/>
        <v>ELMER ARIAS LOPEZ</v>
      </c>
      <c r="AT11" s="75">
        <f t="shared" si="3"/>
        <v>134</v>
      </c>
      <c r="AU11" s="76">
        <v>1500</v>
      </c>
      <c r="AV11" s="81">
        <f>AT11*AU11</f>
        <v>201000</v>
      </c>
      <c r="AW11" s="75">
        <f>11+11+11+11+11+8</f>
        <v>63</v>
      </c>
      <c r="AX11" s="76">
        <v>1600</v>
      </c>
      <c r="AY11" s="81">
        <f>AW11*AX11</f>
        <v>100800</v>
      </c>
      <c r="AZ11" s="94">
        <f t="shared" si="7"/>
        <v>301800</v>
      </c>
      <c r="BA11" s="83">
        <v>20000</v>
      </c>
      <c r="BC11" s="102" t="s">
        <v>39</v>
      </c>
      <c r="BE11" s="104"/>
      <c r="BF11" s="79"/>
      <c r="BG11" s="79"/>
    </row>
    <row r="12" spans="2:59 16384:16384" ht="25.25" customHeight="1" thickTop="1" thickBot="1" x14ac:dyDescent="0.4">
      <c r="B12" s="70">
        <v>5</v>
      </c>
      <c r="C12" s="63" t="s">
        <v>40</v>
      </c>
      <c r="D12" s="97"/>
      <c r="E12" s="97"/>
      <c r="F12" s="97"/>
      <c r="G12" s="65">
        <v>12</v>
      </c>
      <c r="H12" s="65">
        <v>11</v>
      </c>
      <c r="I12" s="66">
        <v>10</v>
      </c>
      <c r="J12" s="66">
        <v>10</v>
      </c>
      <c r="K12" s="66">
        <v>11</v>
      </c>
      <c r="L12" s="66"/>
      <c r="M12" s="89"/>
      <c r="N12" s="68">
        <f t="shared" si="0"/>
        <v>54</v>
      </c>
      <c r="O12" s="69"/>
      <c r="P12" s="70">
        <f t="shared" si="4"/>
        <v>5</v>
      </c>
      <c r="Q12" s="98" t="str">
        <f t="shared" si="1"/>
        <v>JOSE MARTINEZ LOPEZ</v>
      </c>
      <c r="R12" s="92">
        <f t="shared" si="1"/>
        <v>0</v>
      </c>
      <c r="S12" s="92">
        <f t="shared" si="1"/>
        <v>0</v>
      </c>
      <c r="T12" s="92">
        <f t="shared" si="1"/>
        <v>0</v>
      </c>
      <c r="U12" s="65">
        <v>10</v>
      </c>
      <c r="V12" s="65">
        <v>13</v>
      </c>
      <c r="W12" s="66">
        <v>13</v>
      </c>
      <c r="X12" s="66">
        <v>10</v>
      </c>
      <c r="Y12" s="66"/>
      <c r="Z12" s="66"/>
      <c r="AA12" s="93"/>
      <c r="AB12" s="68">
        <f t="shared" si="8"/>
        <v>46</v>
      </c>
      <c r="AC12" s="74" t="str">
        <f t="shared" si="2"/>
        <v>JOSE MARTINEZ LOPEZ</v>
      </c>
      <c r="AD12" s="75">
        <f t="shared" si="9"/>
        <v>100</v>
      </c>
      <c r="AE12" s="100">
        <v>2000</v>
      </c>
      <c r="AF12" s="77">
        <f t="shared" si="5"/>
        <v>200000</v>
      </c>
      <c r="AG12" s="78">
        <v>46776</v>
      </c>
      <c r="AI12" s="105" t="s">
        <v>41</v>
      </c>
      <c r="AJ12" s="106"/>
      <c r="AS12" s="74" t="str">
        <f t="shared" si="6"/>
        <v>JOSE MARTINEZ LOPEZ</v>
      </c>
      <c r="AT12" s="75">
        <f t="shared" si="3"/>
        <v>100</v>
      </c>
      <c r="AU12" s="100">
        <v>2000</v>
      </c>
      <c r="AV12" s="81">
        <f t="shared" ref="AV12:AV13" si="10">AT12*AU12</f>
        <v>200000</v>
      </c>
      <c r="AW12" s="75"/>
      <c r="AX12" s="100">
        <v>2000</v>
      </c>
      <c r="AY12" s="81">
        <f t="shared" ref="AY12:AY13" si="11">AW12*AX12</f>
        <v>0</v>
      </c>
      <c r="AZ12" s="94">
        <f t="shared" si="7"/>
        <v>200000</v>
      </c>
      <c r="BC12" s="106" t="s">
        <v>42</v>
      </c>
      <c r="BE12" s="107"/>
      <c r="BF12" s="106"/>
      <c r="BG12" s="106"/>
    </row>
    <row r="13" spans="2:59 16384:16384" ht="25.25" hidden="1" customHeight="1" x14ac:dyDescent="0.4">
      <c r="B13" s="70">
        <v>6</v>
      </c>
      <c r="C13" s="63" t="s">
        <v>43</v>
      </c>
      <c r="D13" s="87"/>
      <c r="E13" s="87"/>
      <c r="F13" s="87"/>
      <c r="G13" s="88"/>
      <c r="H13" s="89"/>
      <c r="I13" s="89"/>
      <c r="J13" s="89"/>
      <c r="K13" s="89"/>
      <c r="L13" s="89"/>
      <c r="M13" s="90"/>
      <c r="N13" s="68">
        <f t="shared" si="0"/>
        <v>0</v>
      </c>
      <c r="O13" s="69"/>
      <c r="P13" s="70">
        <f t="shared" si="4"/>
        <v>6</v>
      </c>
      <c r="Q13" s="91" t="str">
        <f t="shared" si="1"/>
        <v>FRANKLIN ZELEDON</v>
      </c>
      <c r="R13" s="92">
        <f t="shared" si="1"/>
        <v>0</v>
      </c>
      <c r="S13" s="92">
        <f t="shared" si="1"/>
        <v>0</v>
      </c>
      <c r="T13" s="92">
        <f t="shared" si="1"/>
        <v>0</v>
      </c>
      <c r="U13" s="88"/>
      <c r="V13" s="88"/>
      <c r="W13" s="89"/>
      <c r="X13" s="89"/>
      <c r="Y13" s="89"/>
      <c r="Z13" s="66"/>
      <c r="AA13" s="93"/>
      <c r="AB13" s="68">
        <f t="shared" si="8"/>
        <v>0</v>
      </c>
      <c r="AC13" s="74" t="str">
        <f t="shared" si="2"/>
        <v>FRANKLIN ZELEDON</v>
      </c>
      <c r="AD13" s="75">
        <f t="shared" si="9"/>
        <v>0</v>
      </c>
      <c r="AE13" s="76">
        <v>1500</v>
      </c>
      <c r="AF13" s="77">
        <f t="shared" si="5"/>
        <v>0</v>
      </c>
      <c r="AH13" s="84"/>
      <c r="AI13" s="108" t="s">
        <v>42</v>
      </c>
      <c r="AS13" s="74" t="str">
        <f t="shared" si="6"/>
        <v>FRANKLIN ZELEDON</v>
      </c>
      <c r="AT13" s="75">
        <f t="shared" si="3"/>
        <v>0</v>
      </c>
      <c r="AU13" s="76">
        <v>1500</v>
      </c>
      <c r="AV13" s="81">
        <f t="shared" si="10"/>
        <v>0</v>
      </c>
      <c r="AW13" s="75"/>
      <c r="AX13" s="76">
        <v>1500</v>
      </c>
      <c r="AY13" s="81">
        <f t="shared" si="11"/>
        <v>0</v>
      </c>
      <c r="AZ13" s="94">
        <f t="shared" si="7"/>
        <v>0</v>
      </c>
      <c r="BC13" s="108" t="s">
        <v>42</v>
      </c>
      <c r="BF13" s="84"/>
      <c r="BG13" s="108"/>
    </row>
    <row r="14" spans="2:59 16384:16384" ht="25.25" customHeight="1" thickTop="1" thickBot="1" x14ac:dyDescent="0.4">
      <c r="B14" s="70">
        <v>7</v>
      </c>
      <c r="C14" s="63" t="s">
        <v>44</v>
      </c>
      <c r="D14" s="87"/>
      <c r="E14" s="87"/>
      <c r="F14" s="87"/>
      <c r="G14" s="65">
        <v>12</v>
      </c>
      <c r="H14" s="88">
        <v>11</v>
      </c>
      <c r="I14" s="89">
        <v>10</v>
      </c>
      <c r="J14" s="89">
        <v>10</v>
      </c>
      <c r="K14" s="89">
        <v>11</v>
      </c>
      <c r="L14" s="110"/>
      <c r="M14" s="90"/>
      <c r="N14" s="68">
        <f>SUM(G14:M14)</f>
        <v>54</v>
      </c>
      <c r="O14" s="69"/>
      <c r="P14" s="70">
        <f t="shared" si="4"/>
        <v>7</v>
      </c>
      <c r="Q14" s="91" t="str">
        <f t="shared" si="1"/>
        <v>LUIS FERNANDO HERNANDEZ LOPEZ</v>
      </c>
      <c r="R14" s="92">
        <f t="shared" si="1"/>
        <v>0</v>
      </c>
      <c r="S14" s="92">
        <f t="shared" si="1"/>
        <v>0</v>
      </c>
      <c r="T14" s="92">
        <f t="shared" si="1"/>
        <v>0</v>
      </c>
      <c r="U14" s="88">
        <v>10</v>
      </c>
      <c r="V14" s="88">
        <v>13</v>
      </c>
      <c r="W14" s="89">
        <v>13</v>
      </c>
      <c r="X14" s="89">
        <v>10</v>
      </c>
      <c r="Y14" s="89"/>
      <c r="Z14" s="66"/>
      <c r="AA14" s="93"/>
      <c r="AB14" s="68">
        <f t="shared" si="8"/>
        <v>46</v>
      </c>
      <c r="AC14" s="74" t="str">
        <f t="shared" si="2"/>
        <v>LUIS FERNANDO HERNANDEZ LOPEZ</v>
      </c>
      <c r="AD14" s="75">
        <f t="shared" si="9"/>
        <v>100</v>
      </c>
      <c r="AE14" s="100">
        <v>2000</v>
      </c>
      <c r="AF14" s="77">
        <f>(AD14*AE14)</f>
        <v>200000</v>
      </c>
      <c r="AH14" s="84"/>
      <c r="AI14" s="105" t="s">
        <v>45</v>
      </c>
      <c r="AS14" s="74" t="str">
        <f t="shared" si="6"/>
        <v>LUIS FERNANDO HERNANDEZ LOPEZ</v>
      </c>
      <c r="AT14" s="75">
        <f t="shared" si="3"/>
        <v>100</v>
      </c>
      <c r="AU14" s="100">
        <v>2000</v>
      </c>
      <c r="AV14" s="81">
        <f>AT14*AU14</f>
        <v>200000</v>
      </c>
      <c r="AW14" s="75"/>
      <c r="AX14" s="100">
        <v>2000</v>
      </c>
      <c r="AY14" s="81">
        <f>AW14*AX14</f>
        <v>0</v>
      </c>
      <c r="AZ14" s="94">
        <f t="shared" si="7"/>
        <v>200000</v>
      </c>
      <c r="BC14" s="106" t="s">
        <v>42</v>
      </c>
      <c r="BF14" s="84"/>
      <c r="BG14" s="106"/>
    </row>
    <row r="15" spans="2:59 16384:16384" ht="24.65" customHeight="1" thickTop="1" thickBot="1" x14ac:dyDescent="0.4">
      <c r="B15" s="70">
        <v>8</v>
      </c>
      <c r="C15" s="63" t="s">
        <v>46</v>
      </c>
      <c r="D15" s="87"/>
      <c r="E15" s="87"/>
      <c r="F15" s="87"/>
      <c r="G15" s="65">
        <v>12</v>
      </c>
      <c r="H15" s="88">
        <v>11</v>
      </c>
      <c r="I15" s="89">
        <v>10</v>
      </c>
      <c r="J15" s="89">
        <v>10</v>
      </c>
      <c r="K15" s="89">
        <v>11</v>
      </c>
      <c r="L15" s="89"/>
      <c r="M15" s="90"/>
      <c r="N15" s="68">
        <f t="shared" si="0"/>
        <v>54</v>
      </c>
      <c r="O15" s="69"/>
      <c r="P15" s="70">
        <f t="shared" si="4"/>
        <v>8</v>
      </c>
      <c r="Q15" s="91" t="str">
        <f t="shared" si="1"/>
        <v>JUAN ESPINOZA</v>
      </c>
      <c r="R15" s="92">
        <f t="shared" si="1"/>
        <v>0</v>
      </c>
      <c r="S15" s="92">
        <f t="shared" si="1"/>
        <v>0</v>
      </c>
      <c r="T15" s="92">
        <f t="shared" si="1"/>
        <v>0</v>
      </c>
      <c r="U15" s="88">
        <v>10</v>
      </c>
      <c r="V15" s="88">
        <v>13</v>
      </c>
      <c r="W15" s="89">
        <v>13</v>
      </c>
      <c r="X15" s="89">
        <v>10</v>
      </c>
      <c r="Y15" s="89"/>
      <c r="Z15" s="66"/>
      <c r="AA15" s="93"/>
      <c r="AB15" s="68">
        <f>SUM(U15:AA15)</f>
        <v>46</v>
      </c>
      <c r="AC15" s="74" t="str">
        <f t="shared" si="2"/>
        <v>JUAN ESPINOZA</v>
      </c>
      <c r="AD15" s="75">
        <f t="shared" si="9"/>
        <v>100</v>
      </c>
      <c r="AE15" s="76">
        <v>1600</v>
      </c>
      <c r="AF15" s="77">
        <f t="shared" si="5"/>
        <v>160000</v>
      </c>
      <c r="AG15" s="111"/>
      <c r="AI15" s="84" t="s">
        <v>47</v>
      </c>
      <c r="AS15" s="74" t="str">
        <f t="shared" si="6"/>
        <v>JUAN ESPINOZA</v>
      </c>
      <c r="AT15" s="75">
        <f t="shared" si="3"/>
        <v>100</v>
      </c>
      <c r="AU15" s="76">
        <v>1500</v>
      </c>
      <c r="AV15" s="81">
        <f>AT15*AU15</f>
        <v>150000</v>
      </c>
      <c r="AW15" s="75">
        <v>0</v>
      </c>
      <c r="AX15" s="76">
        <v>1500</v>
      </c>
      <c r="AY15" s="81">
        <f>AW15*AX15</f>
        <v>0</v>
      </c>
      <c r="AZ15" s="94">
        <f t="shared" si="7"/>
        <v>150000</v>
      </c>
      <c r="BC15" s="80" t="s">
        <v>48</v>
      </c>
      <c r="BE15" s="111"/>
      <c r="BF15" s="79"/>
      <c r="BG15" s="84"/>
    </row>
    <row r="16" spans="2:59 16384:16384" ht="24.65" hidden="1" customHeight="1" x14ac:dyDescent="0.4">
      <c r="B16" s="70">
        <v>9</v>
      </c>
      <c r="C16" s="63" t="s">
        <v>49</v>
      </c>
      <c r="D16" s="87"/>
      <c r="E16" s="87"/>
      <c r="F16" s="87"/>
      <c r="G16" s="88"/>
      <c r="H16" s="89"/>
      <c r="I16" s="89"/>
      <c r="J16" s="89"/>
      <c r="K16" s="89"/>
      <c r="L16" s="89"/>
      <c r="M16" s="90"/>
      <c r="N16" s="70">
        <f t="shared" si="0"/>
        <v>0</v>
      </c>
      <c r="O16" s="69"/>
      <c r="P16" s="70">
        <f t="shared" si="4"/>
        <v>9</v>
      </c>
      <c r="Q16" s="91" t="str">
        <f t="shared" si="1"/>
        <v>MARVIN ANTONIO DIAZ</v>
      </c>
      <c r="R16" s="92">
        <f t="shared" si="1"/>
        <v>0</v>
      </c>
      <c r="S16" s="92">
        <f t="shared" si="1"/>
        <v>0</v>
      </c>
      <c r="T16" s="92">
        <f t="shared" si="1"/>
        <v>0</v>
      </c>
      <c r="U16" s="88"/>
      <c r="V16" s="88"/>
      <c r="W16" s="89"/>
      <c r="X16" s="89"/>
      <c r="Y16" s="89"/>
      <c r="Z16" s="66"/>
      <c r="AA16" s="93"/>
      <c r="AB16" s="70">
        <f t="shared" si="8"/>
        <v>0</v>
      </c>
      <c r="AC16" s="74" t="str">
        <f t="shared" si="2"/>
        <v>MARVIN ANTONIO DIAZ</v>
      </c>
      <c r="AD16" s="75">
        <f t="shared" si="9"/>
        <v>0</v>
      </c>
      <c r="AE16" s="76">
        <v>1400</v>
      </c>
      <c r="AF16" s="77">
        <f t="shared" si="5"/>
        <v>0</v>
      </c>
      <c r="AG16" s="111"/>
      <c r="AH16" s="79"/>
      <c r="AI16" s="84" t="s">
        <v>50</v>
      </c>
      <c r="AS16" s="74" t="str">
        <f t="shared" si="6"/>
        <v>MARVIN ANTONIO DIAZ</v>
      </c>
      <c r="AT16" s="75">
        <f t="shared" si="3"/>
        <v>0</v>
      </c>
      <c r="AU16" s="76">
        <v>1400</v>
      </c>
      <c r="AV16" s="81">
        <f>AT16*AU16</f>
        <v>0</v>
      </c>
      <c r="AW16" s="75"/>
      <c r="AX16" s="76">
        <v>1400</v>
      </c>
      <c r="AY16" s="81">
        <f>AW16*AX16</f>
        <v>0</v>
      </c>
      <c r="AZ16" s="94">
        <f t="shared" si="7"/>
        <v>0</v>
      </c>
      <c r="BC16" s="84" t="s">
        <v>42</v>
      </c>
      <c r="BE16" s="111"/>
      <c r="BF16" s="79"/>
      <c r="BG16" s="84"/>
    </row>
    <row r="17" spans="2:59" ht="24.65" customHeight="1" thickTop="1" thickBot="1" x14ac:dyDescent="0.4">
      <c r="B17" s="70">
        <v>10</v>
      </c>
      <c r="C17" s="63" t="s">
        <v>51</v>
      </c>
      <c r="D17" s="112"/>
      <c r="E17" s="112"/>
      <c r="F17" s="112"/>
      <c r="G17" s="88">
        <v>6</v>
      </c>
      <c r="H17" s="89">
        <v>10</v>
      </c>
      <c r="I17" s="89">
        <v>10</v>
      </c>
      <c r="J17" s="89">
        <v>12</v>
      </c>
      <c r="K17" s="89">
        <v>12</v>
      </c>
      <c r="L17" s="89">
        <v>12</v>
      </c>
      <c r="M17" s="90">
        <v>10</v>
      </c>
      <c r="N17" s="70">
        <f t="shared" si="0"/>
        <v>72</v>
      </c>
      <c r="O17" s="69"/>
      <c r="P17" s="70">
        <f t="shared" si="4"/>
        <v>10</v>
      </c>
      <c r="Q17" s="91" t="str">
        <f t="shared" si="1"/>
        <v>DONALD JOSE LOPEZ HERNANDEZ</v>
      </c>
      <c r="R17" s="92"/>
      <c r="S17" s="92"/>
      <c r="T17" s="92"/>
      <c r="U17" s="88">
        <v>12</v>
      </c>
      <c r="V17" s="88">
        <v>12</v>
      </c>
      <c r="W17" s="89">
        <v>15</v>
      </c>
      <c r="X17" s="89">
        <v>0</v>
      </c>
      <c r="Y17" s="89">
        <v>0</v>
      </c>
      <c r="Z17" s="66"/>
      <c r="AA17" s="93"/>
      <c r="AB17" s="70">
        <f t="shared" si="8"/>
        <v>39</v>
      </c>
      <c r="AC17" s="74" t="str">
        <f t="shared" si="2"/>
        <v>DONALD JOSE LOPEZ HERNANDEZ</v>
      </c>
      <c r="AD17" s="75">
        <f t="shared" si="9"/>
        <v>111</v>
      </c>
      <c r="AE17" s="76">
        <v>2000</v>
      </c>
      <c r="AF17" s="77">
        <f t="shared" si="5"/>
        <v>222000</v>
      </c>
      <c r="AG17" s="78">
        <v>49000</v>
      </c>
      <c r="AH17" s="79"/>
      <c r="AI17" s="80" t="s">
        <v>52</v>
      </c>
      <c r="AS17" s="74" t="str">
        <f t="shared" si="6"/>
        <v>DONALD JOSE LOPEZ HERNANDEZ</v>
      </c>
      <c r="AT17" s="75">
        <f t="shared" si="3"/>
        <v>111</v>
      </c>
      <c r="AU17" s="76">
        <v>1800</v>
      </c>
      <c r="AV17" s="81">
        <f>AT17*AU17</f>
        <v>199800</v>
      </c>
      <c r="AW17" s="75">
        <f>11+11+11+11+11+8</f>
        <v>63</v>
      </c>
      <c r="AX17" s="76">
        <v>1800</v>
      </c>
      <c r="AY17" s="81">
        <f>AW17*AX17</f>
        <v>113400</v>
      </c>
      <c r="AZ17" s="94">
        <f t="shared" si="7"/>
        <v>313200</v>
      </c>
      <c r="BC17" s="80" t="s">
        <v>52</v>
      </c>
      <c r="BE17" s="111"/>
      <c r="BF17" s="79"/>
      <c r="BG17" s="84"/>
    </row>
    <row r="18" spans="2:59" ht="25.25" customHeight="1" thickTop="1" x14ac:dyDescent="0.35">
      <c r="B18" s="70">
        <v>11</v>
      </c>
      <c r="C18" s="63" t="s">
        <v>53</v>
      </c>
      <c r="D18" s="97"/>
      <c r="E18" s="97"/>
      <c r="F18" s="97"/>
      <c r="G18" s="113"/>
      <c r="H18" s="114"/>
      <c r="I18" s="114"/>
      <c r="J18" s="114"/>
      <c r="K18" s="114"/>
      <c r="L18" s="114"/>
      <c r="M18" s="115"/>
      <c r="N18" s="70">
        <f t="shared" si="0"/>
        <v>0</v>
      </c>
      <c r="O18" s="69"/>
      <c r="P18" s="70">
        <f t="shared" si="4"/>
        <v>11</v>
      </c>
      <c r="Q18" s="91" t="str">
        <f t="shared" si="1"/>
        <v xml:space="preserve"> ALAN LOPEZ</v>
      </c>
      <c r="R18" s="92">
        <f t="shared" si="1"/>
        <v>0</v>
      </c>
      <c r="S18" s="92">
        <f t="shared" si="1"/>
        <v>0</v>
      </c>
      <c r="T18" s="92">
        <f t="shared" si="1"/>
        <v>0</v>
      </c>
      <c r="U18" s="113"/>
      <c r="V18" s="113"/>
      <c r="W18" s="89">
        <v>13</v>
      </c>
      <c r="X18" s="89">
        <v>10</v>
      </c>
      <c r="Y18" s="114"/>
      <c r="Z18" s="66"/>
      <c r="AA18" s="99"/>
      <c r="AB18" s="70">
        <f t="shared" si="8"/>
        <v>23</v>
      </c>
      <c r="AC18" s="74" t="str">
        <f t="shared" si="2"/>
        <v xml:space="preserve"> ALAN LOPEZ</v>
      </c>
      <c r="AD18" s="75">
        <f t="shared" si="9"/>
        <v>23</v>
      </c>
      <c r="AE18" s="76">
        <v>1400</v>
      </c>
      <c r="AF18" s="77">
        <f t="shared" si="5"/>
        <v>32200</v>
      </c>
      <c r="AG18" s="107"/>
      <c r="AH18" s="104"/>
      <c r="AI18" s="80" t="s">
        <v>54</v>
      </c>
      <c r="AS18" s="74" t="str">
        <f t="shared" si="6"/>
        <v xml:space="preserve"> ALAN LOPEZ</v>
      </c>
      <c r="AT18" s="75">
        <f t="shared" si="3"/>
        <v>23</v>
      </c>
      <c r="AU18" s="76">
        <v>1400</v>
      </c>
      <c r="AV18" s="116">
        <f>AT18*AU18</f>
        <v>32200</v>
      </c>
      <c r="AW18" s="75">
        <v>0</v>
      </c>
      <c r="AX18" s="76">
        <v>1400</v>
      </c>
      <c r="AY18" s="116">
        <f>AW18*AX18</f>
        <v>0</v>
      </c>
      <c r="AZ18" s="94">
        <f t="shared" si="7"/>
        <v>32200</v>
      </c>
      <c r="BC18" s="80" t="s">
        <v>54</v>
      </c>
      <c r="BE18" s="107"/>
      <c r="BF18" s="104"/>
      <c r="BG18" s="84"/>
    </row>
    <row r="19" spans="2:59" ht="25.25" hidden="1" customHeight="1" x14ac:dyDescent="0.35">
      <c r="B19" s="70">
        <v>12</v>
      </c>
      <c r="C19" s="96" t="s">
        <v>55</v>
      </c>
      <c r="D19" s="87"/>
      <c r="E19" s="87"/>
      <c r="F19" s="87"/>
      <c r="G19" s="88"/>
      <c r="H19" s="89"/>
      <c r="I19" s="89"/>
      <c r="J19" s="89"/>
      <c r="K19" s="89"/>
      <c r="L19" s="89"/>
      <c r="M19" s="90"/>
      <c r="N19" s="70">
        <f t="shared" si="0"/>
        <v>0</v>
      </c>
      <c r="O19" s="69"/>
      <c r="P19" s="70">
        <f t="shared" si="4"/>
        <v>12</v>
      </c>
      <c r="Q19" s="91" t="str">
        <f t="shared" si="1"/>
        <v>KEVIN ORDOÑEZ</v>
      </c>
      <c r="R19" s="92">
        <f t="shared" si="1"/>
        <v>0</v>
      </c>
      <c r="S19" s="92">
        <f t="shared" si="1"/>
        <v>0</v>
      </c>
      <c r="T19" s="92">
        <f t="shared" si="1"/>
        <v>0</v>
      </c>
      <c r="U19" s="88"/>
      <c r="V19" s="88"/>
      <c r="W19" s="89"/>
      <c r="X19" s="89"/>
      <c r="Y19" s="89"/>
      <c r="Z19" s="66"/>
      <c r="AA19" s="93"/>
      <c r="AB19" s="70">
        <f t="shared" si="8"/>
        <v>0</v>
      </c>
      <c r="AC19" s="74" t="str">
        <f t="shared" si="2"/>
        <v>KEVIN ORDOÑEZ</v>
      </c>
      <c r="AD19" s="75">
        <f t="shared" si="9"/>
        <v>0</v>
      </c>
      <c r="AE19" s="76">
        <v>1500</v>
      </c>
      <c r="AF19" s="77">
        <f t="shared" si="5"/>
        <v>0</v>
      </c>
      <c r="AG19" s="111"/>
      <c r="AH19" s="79"/>
      <c r="AI19" s="106" t="s">
        <v>42</v>
      </c>
      <c r="AS19" s="74" t="str">
        <f t="shared" si="6"/>
        <v>KEVIN ORDOÑEZ</v>
      </c>
      <c r="AT19" s="75">
        <f t="shared" si="3"/>
        <v>0</v>
      </c>
      <c r="AU19" s="76">
        <v>1500</v>
      </c>
      <c r="AV19" s="117">
        <f t="shared" ref="AV19:AV21" si="12">AT19*AU19</f>
        <v>0</v>
      </c>
      <c r="AW19" s="75"/>
      <c r="AX19" s="76">
        <v>1500</v>
      </c>
      <c r="AY19" s="117">
        <f t="shared" ref="AY19:AY21" si="13">AW19*AX19</f>
        <v>0</v>
      </c>
      <c r="AZ19" s="94">
        <f t="shared" si="7"/>
        <v>0</v>
      </c>
      <c r="BC19" s="106" t="s">
        <v>42</v>
      </c>
      <c r="BE19" s="111"/>
      <c r="BF19" s="79"/>
      <c r="BG19" s="106"/>
    </row>
    <row r="20" spans="2:59" ht="25.25" hidden="1" customHeight="1" x14ac:dyDescent="0.35">
      <c r="B20" s="70">
        <v>13</v>
      </c>
      <c r="C20" s="96" t="s">
        <v>56</v>
      </c>
      <c r="D20" s="87"/>
      <c r="E20" s="87"/>
      <c r="F20" s="87"/>
      <c r="G20" s="88"/>
      <c r="H20" s="89"/>
      <c r="I20" s="89"/>
      <c r="J20" s="89"/>
      <c r="K20" s="89"/>
      <c r="L20" s="89"/>
      <c r="M20" s="90"/>
      <c r="N20" s="70">
        <f t="shared" si="0"/>
        <v>0</v>
      </c>
      <c r="O20" s="69"/>
      <c r="P20" s="70">
        <f t="shared" si="4"/>
        <v>13</v>
      </c>
      <c r="Q20" s="91" t="str">
        <f t="shared" si="1"/>
        <v>NOEL ANTONIO GUZMAN</v>
      </c>
      <c r="R20" s="92">
        <f t="shared" si="1"/>
        <v>0</v>
      </c>
      <c r="S20" s="92">
        <f t="shared" si="1"/>
        <v>0</v>
      </c>
      <c r="T20" s="92">
        <f t="shared" si="1"/>
        <v>0</v>
      </c>
      <c r="U20" s="88"/>
      <c r="V20" s="88"/>
      <c r="W20" s="89"/>
      <c r="X20" s="89"/>
      <c r="Y20" s="89"/>
      <c r="Z20" s="66"/>
      <c r="AA20" s="93"/>
      <c r="AB20" s="70">
        <f t="shared" si="8"/>
        <v>0</v>
      </c>
      <c r="AC20" s="74" t="str">
        <f t="shared" si="2"/>
        <v>NOEL ANTONIO GUZMAN</v>
      </c>
      <c r="AD20" s="75">
        <f t="shared" si="9"/>
        <v>0</v>
      </c>
      <c r="AE20" s="76">
        <v>2000</v>
      </c>
      <c r="AF20" s="77">
        <f t="shared" si="5"/>
        <v>0</v>
      </c>
      <c r="AG20" s="111"/>
      <c r="AH20" s="79"/>
      <c r="AI20" s="84" t="s">
        <v>42</v>
      </c>
      <c r="AS20" s="74" t="str">
        <f t="shared" si="6"/>
        <v>NOEL ANTONIO GUZMAN</v>
      </c>
      <c r="AT20" s="118">
        <f t="shared" si="3"/>
        <v>0</v>
      </c>
      <c r="AU20" s="76">
        <v>2000</v>
      </c>
      <c r="AV20" s="117">
        <f t="shared" si="12"/>
        <v>0</v>
      </c>
      <c r="AW20" s="75"/>
      <c r="AX20" s="76">
        <v>2000</v>
      </c>
      <c r="AY20" s="117">
        <f t="shared" si="13"/>
        <v>0</v>
      </c>
      <c r="AZ20" s="94">
        <f t="shared" si="7"/>
        <v>0</v>
      </c>
      <c r="BC20" s="84" t="s">
        <v>42</v>
      </c>
      <c r="BE20" s="111"/>
      <c r="BF20" s="79"/>
      <c r="BG20" s="84"/>
    </row>
    <row r="21" spans="2:59" ht="25.25" hidden="1" customHeight="1" x14ac:dyDescent="0.35">
      <c r="B21" s="70">
        <v>14</v>
      </c>
      <c r="C21" s="96" t="s">
        <v>57</v>
      </c>
      <c r="D21" s="87"/>
      <c r="E21" s="87"/>
      <c r="F21" s="87"/>
      <c r="G21" s="88"/>
      <c r="H21" s="89"/>
      <c r="I21" s="89"/>
      <c r="J21" s="89"/>
      <c r="K21" s="89"/>
      <c r="L21" s="89"/>
      <c r="M21" s="90"/>
      <c r="N21" s="70">
        <f t="shared" si="0"/>
        <v>0</v>
      </c>
      <c r="O21" s="69"/>
      <c r="P21" s="70">
        <f t="shared" si="4"/>
        <v>14</v>
      </c>
      <c r="Q21" s="91" t="str">
        <f t="shared" si="1"/>
        <v>ISAI HONDOY</v>
      </c>
      <c r="R21" s="92">
        <f t="shared" si="1"/>
        <v>0</v>
      </c>
      <c r="S21" s="92">
        <f t="shared" si="1"/>
        <v>0</v>
      </c>
      <c r="T21" s="92">
        <f t="shared" si="1"/>
        <v>0</v>
      </c>
      <c r="U21" s="88"/>
      <c r="V21" s="88"/>
      <c r="W21" s="89"/>
      <c r="X21" s="89"/>
      <c r="Y21" s="89"/>
      <c r="Z21" s="66"/>
      <c r="AA21" s="93"/>
      <c r="AB21" s="70">
        <f t="shared" si="8"/>
        <v>0</v>
      </c>
      <c r="AC21" s="74" t="str">
        <f t="shared" si="2"/>
        <v>ISAI HONDOY</v>
      </c>
      <c r="AD21" s="75">
        <f t="shared" si="9"/>
        <v>0</v>
      </c>
      <c r="AE21" s="76">
        <v>1400</v>
      </c>
      <c r="AF21" s="77">
        <f t="shared" si="5"/>
        <v>0</v>
      </c>
      <c r="AG21" s="74"/>
      <c r="AH21" s="79"/>
      <c r="AI21" s="84" t="s">
        <v>42</v>
      </c>
      <c r="AS21" s="74" t="str">
        <f t="shared" si="6"/>
        <v>ISAI HONDOY</v>
      </c>
      <c r="AT21" s="118">
        <f t="shared" si="3"/>
        <v>0</v>
      </c>
      <c r="AU21" s="76">
        <v>1400</v>
      </c>
      <c r="AV21" s="117">
        <f t="shared" si="12"/>
        <v>0</v>
      </c>
      <c r="AW21" s="75"/>
      <c r="AX21" s="76">
        <v>1400</v>
      </c>
      <c r="AY21" s="117">
        <f t="shared" si="13"/>
        <v>0</v>
      </c>
      <c r="AZ21" s="94">
        <f t="shared" si="7"/>
        <v>0</v>
      </c>
      <c r="BC21" s="84" t="s">
        <v>42</v>
      </c>
      <c r="BE21" s="74"/>
      <c r="BF21" s="79"/>
      <c r="BG21" s="84"/>
    </row>
    <row r="22" spans="2:59" ht="25.25" hidden="1" customHeight="1" x14ac:dyDescent="0.35">
      <c r="B22" s="70">
        <v>15</v>
      </c>
      <c r="C22" s="96" t="s">
        <v>58</v>
      </c>
      <c r="D22" s="87"/>
      <c r="E22" s="87"/>
      <c r="F22" s="87"/>
      <c r="G22" s="89"/>
      <c r="H22" s="89"/>
      <c r="I22" s="89"/>
      <c r="J22" s="89"/>
      <c r="K22" s="89"/>
      <c r="L22" s="89"/>
      <c r="M22" s="89"/>
      <c r="N22" s="70">
        <f t="shared" si="0"/>
        <v>0</v>
      </c>
      <c r="O22" s="69"/>
      <c r="P22" s="70">
        <f t="shared" si="4"/>
        <v>15</v>
      </c>
      <c r="Q22" s="91" t="str">
        <f t="shared" si="1"/>
        <v>DAVID CHAVEZ</v>
      </c>
      <c r="R22" s="92">
        <f t="shared" si="1"/>
        <v>0</v>
      </c>
      <c r="S22" s="92">
        <f t="shared" si="1"/>
        <v>0</v>
      </c>
      <c r="T22" s="92">
        <f t="shared" si="1"/>
        <v>0</v>
      </c>
      <c r="U22" s="89"/>
      <c r="V22" s="89"/>
      <c r="W22" s="89"/>
      <c r="X22" s="89"/>
      <c r="Y22" s="89"/>
      <c r="Z22" s="66"/>
      <c r="AA22" s="93"/>
      <c r="AB22" s="70">
        <f t="shared" si="8"/>
        <v>0</v>
      </c>
      <c r="AC22" s="74" t="str">
        <f t="shared" si="2"/>
        <v>DAVID CHAVEZ</v>
      </c>
      <c r="AD22" s="75">
        <f t="shared" si="9"/>
        <v>0</v>
      </c>
      <c r="AE22" s="76">
        <v>1400</v>
      </c>
      <c r="AF22" s="77">
        <f t="shared" si="5"/>
        <v>0</v>
      </c>
      <c r="AG22" s="111"/>
      <c r="AH22" s="79"/>
      <c r="AI22" s="80" t="s">
        <v>38</v>
      </c>
      <c r="AS22" s="74" t="str">
        <f t="shared" si="6"/>
        <v>DAVID CHAVEZ</v>
      </c>
      <c r="AT22" s="118">
        <f t="shared" si="3"/>
        <v>0</v>
      </c>
      <c r="AU22" s="76">
        <v>1400</v>
      </c>
      <c r="AV22" s="117">
        <f>AT22*AU22</f>
        <v>0</v>
      </c>
      <c r="AW22" s="75"/>
      <c r="AX22" s="76">
        <v>1400</v>
      </c>
      <c r="AY22" s="117">
        <f>AW22*AX22</f>
        <v>0</v>
      </c>
      <c r="AZ22" s="94">
        <f t="shared" si="7"/>
        <v>0</v>
      </c>
      <c r="BC22" s="84" t="s">
        <v>42</v>
      </c>
      <c r="BE22" s="111"/>
      <c r="BF22" s="79"/>
      <c r="BG22" s="84"/>
    </row>
    <row r="23" spans="2:59" ht="25.25" hidden="1" customHeight="1" x14ac:dyDescent="0.35">
      <c r="B23" s="70">
        <v>16</v>
      </c>
      <c r="C23" s="96" t="s">
        <v>59</v>
      </c>
      <c r="D23" s="87"/>
      <c r="E23" s="87"/>
      <c r="F23" s="87"/>
      <c r="G23" s="89"/>
      <c r="H23" s="89"/>
      <c r="I23" s="89"/>
      <c r="J23" s="89"/>
      <c r="K23" s="89"/>
      <c r="L23" s="89"/>
      <c r="M23" s="89"/>
      <c r="N23" s="70">
        <f t="shared" si="0"/>
        <v>0</v>
      </c>
      <c r="O23" s="69"/>
      <c r="P23" s="70">
        <f t="shared" si="4"/>
        <v>16</v>
      </c>
      <c r="Q23" s="91" t="str">
        <f t="shared" si="1"/>
        <v>FRANCISCO JAVIER AQUINN</v>
      </c>
      <c r="R23" s="92">
        <f t="shared" si="1"/>
        <v>0</v>
      </c>
      <c r="S23" s="92">
        <f t="shared" si="1"/>
        <v>0</v>
      </c>
      <c r="T23" s="92">
        <f t="shared" si="1"/>
        <v>0</v>
      </c>
      <c r="U23" s="89"/>
      <c r="V23" s="88"/>
      <c r="W23" s="89"/>
      <c r="X23" s="89"/>
      <c r="Y23" s="89"/>
      <c r="Z23" s="66"/>
      <c r="AA23" s="93"/>
      <c r="AB23" s="70">
        <f t="shared" si="8"/>
        <v>0</v>
      </c>
      <c r="AC23" s="74" t="str">
        <f t="shared" si="2"/>
        <v>FRANCISCO JAVIER AQUINN</v>
      </c>
      <c r="AD23" s="75">
        <f t="shared" si="9"/>
        <v>0</v>
      </c>
      <c r="AE23" s="76">
        <v>2100</v>
      </c>
      <c r="AF23" s="77">
        <f t="shared" si="5"/>
        <v>0</v>
      </c>
      <c r="AG23" s="111"/>
      <c r="AH23" s="79"/>
      <c r="AI23" s="84" t="s">
        <v>60</v>
      </c>
      <c r="AS23" s="74" t="str">
        <f t="shared" si="6"/>
        <v>FRANCISCO JAVIER AQUINN</v>
      </c>
      <c r="AT23" s="118">
        <f t="shared" si="3"/>
        <v>0</v>
      </c>
      <c r="AU23" s="76">
        <v>2100</v>
      </c>
      <c r="AV23" s="117">
        <f t="shared" ref="AV23:AV32" si="14">AT23*AU23</f>
        <v>0</v>
      </c>
      <c r="AW23" s="75">
        <f>11+11+11+11+8</f>
        <v>52</v>
      </c>
      <c r="AX23" s="76">
        <v>2100</v>
      </c>
      <c r="AY23" s="117">
        <f t="shared" ref="AY23:AY32" si="15">AW23*AX23</f>
        <v>109200</v>
      </c>
      <c r="AZ23" s="94">
        <f t="shared" si="7"/>
        <v>109200</v>
      </c>
      <c r="BC23" s="80" t="s">
        <v>60</v>
      </c>
      <c r="BE23" s="111"/>
      <c r="BF23" s="79"/>
      <c r="BG23" s="84"/>
    </row>
    <row r="24" spans="2:59" ht="25.25" hidden="1" customHeight="1" x14ac:dyDescent="0.35">
      <c r="B24" s="95">
        <v>17</v>
      </c>
      <c r="C24" s="96" t="s">
        <v>61</v>
      </c>
      <c r="D24" s="87"/>
      <c r="E24" s="87"/>
      <c r="F24" s="87"/>
      <c r="G24" s="89"/>
      <c r="H24" s="89"/>
      <c r="I24" s="89"/>
      <c r="J24" s="89"/>
      <c r="K24" s="89"/>
      <c r="L24" s="89"/>
      <c r="M24" s="89"/>
      <c r="N24" s="70">
        <f t="shared" si="0"/>
        <v>0</v>
      </c>
      <c r="O24" s="69"/>
      <c r="P24" s="70">
        <f t="shared" si="4"/>
        <v>17</v>
      </c>
      <c r="Q24" s="91" t="str">
        <f t="shared" si="4"/>
        <v>ELVIN CALERO</v>
      </c>
      <c r="R24" s="92">
        <f t="shared" si="4"/>
        <v>0</v>
      </c>
      <c r="S24" s="92">
        <f t="shared" si="4"/>
        <v>0</v>
      </c>
      <c r="T24" s="92">
        <f t="shared" si="4"/>
        <v>0</v>
      </c>
      <c r="U24" s="89"/>
      <c r="V24" s="89"/>
      <c r="W24" s="89"/>
      <c r="X24" s="89"/>
      <c r="Y24" s="89"/>
      <c r="Z24" s="66"/>
      <c r="AA24" s="93"/>
      <c r="AB24" s="70">
        <f t="shared" si="8"/>
        <v>0</v>
      </c>
      <c r="AC24" s="74" t="str">
        <f t="shared" si="2"/>
        <v>ELVIN CALERO</v>
      </c>
      <c r="AD24" s="75">
        <f t="shared" si="9"/>
        <v>0</v>
      </c>
      <c r="AE24" s="76">
        <v>1400</v>
      </c>
      <c r="AF24" s="77">
        <f t="shared" si="5"/>
        <v>0</v>
      </c>
      <c r="AG24" s="111"/>
      <c r="AH24" s="79"/>
      <c r="AI24" s="84" t="s">
        <v>42</v>
      </c>
      <c r="AS24" s="74" t="str">
        <f t="shared" si="6"/>
        <v>ELVIN CALERO</v>
      </c>
      <c r="AT24" s="118">
        <f t="shared" si="3"/>
        <v>0</v>
      </c>
      <c r="AU24" s="76">
        <v>1400</v>
      </c>
      <c r="AV24" s="117">
        <f t="shared" si="14"/>
        <v>0</v>
      </c>
      <c r="AW24" s="75"/>
      <c r="AX24" s="76">
        <v>1400</v>
      </c>
      <c r="AY24" s="117">
        <f t="shared" si="15"/>
        <v>0</v>
      </c>
      <c r="AZ24" s="94">
        <f t="shared" si="7"/>
        <v>0</v>
      </c>
      <c r="BC24" s="84" t="s">
        <v>42</v>
      </c>
      <c r="BE24" s="111"/>
      <c r="BF24" s="79"/>
      <c r="BG24" s="84"/>
    </row>
    <row r="25" spans="2:59" ht="25.25" hidden="1" customHeight="1" x14ac:dyDescent="0.35">
      <c r="B25" s="70">
        <v>18</v>
      </c>
      <c r="C25" s="96" t="s">
        <v>62</v>
      </c>
      <c r="D25" s="87"/>
      <c r="E25" s="87"/>
      <c r="F25" s="87"/>
      <c r="G25" s="89"/>
      <c r="H25" s="89"/>
      <c r="I25" s="89"/>
      <c r="J25" s="89"/>
      <c r="K25" s="89"/>
      <c r="L25" s="89"/>
      <c r="M25" s="89"/>
      <c r="N25" s="70">
        <f t="shared" si="0"/>
        <v>0</v>
      </c>
      <c r="O25" s="69"/>
      <c r="P25" s="70">
        <f t="shared" si="4"/>
        <v>18</v>
      </c>
      <c r="Q25" s="91" t="str">
        <f t="shared" si="4"/>
        <v>JOHNNY ECHEVERRIA</v>
      </c>
      <c r="R25" s="92">
        <f t="shared" si="4"/>
        <v>0</v>
      </c>
      <c r="S25" s="92">
        <f t="shared" si="4"/>
        <v>0</v>
      </c>
      <c r="T25" s="92">
        <f t="shared" si="4"/>
        <v>0</v>
      </c>
      <c r="U25" s="89"/>
      <c r="V25" s="88"/>
      <c r="W25" s="89"/>
      <c r="X25" s="89"/>
      <c r="Y25" s="89"/>
      <c r="Z25" s="66"/>
      <c r="AA25" s="93"/>
      <c r="AB25" s="70">
        <f t="shared" si="8"/>
        <v>0</v>
      </c>
      <c r="AC25" s="74" t="str">
        <f t="shared" si="2"/>
        <v>JOHNNY ECHEVERRIA</v>
      </c>
      <c r="AD25" s="75">
        <f t="shared" si="9"/>
        <v>0</v>
      </c>
      <c r="AE25" s="76">
        <v>1400</v>
      </c>
      <c r="AF25" s="77">
        <f t="shared" si="5"/>
        <v>0</v>
      </c>
      <c r="AG25" s="111"/>
      <c r="AH25" s="79"/>
      <c r="AI25" s="84" t="s">
        <v>63</v>
      </c>
      <c r="AS25" s="74" t="str">
        <f t="shared" si="6"/>
        <v>JOHNNY ECHEVERRIA</v>
      </c>
      <c r="AT25" s="118">
        <f t="shared" si="3"/>
        <v>0</v>
      </c>
      <c r="AU25" s="76">
        <v>1400</v>
      </c>
      <c r="AV25" s="117">
        <f t="shared" si="14"/>
        <v>0</v>
      </c>
      <c r="AW25" s="75">
        <v>0</v>
      </c>
      <c r="AX25" s="76">
        <v>1400</v>
      </c>
      <c r="AY25" s="117">
        <f t="shared" si="15"/>
        <v>0</v>
      </c>
      <c r="AZ25" s="94">
        <f t="shared" si="7"/>
        <v>0</v>
      </c>
      <c r="BA25" s="74" t="s">
        <v>64</v>
      </c>
      <c r="BC25" s="80" t="s">
        <v>63</v>
      </c>
      <c r="BE25" s="111"/>
      <c r="BF25" s="79"/>
      <c r="BG25" s="84"/>
    </row>
    <row r="26" spans="2:59" ht="25.25" hidden="1" customHeight="1" x14ac:dyDescent="0.35">
      <c r="B26" s="70">
        <v>19</v>
      </c>
      <c r="C26" s="96" t="s">
        <v>65</v>
      </c>
      <c r="D26" s="87"/>
      <c r="E26" s="87"/>
      <c r="F26" s="87"/>
      <c r="G26" s="89"/>
      <c r="H26" s="89"/>
      <c r="I26" s="89"/>
      <c r="J26" s="89"/>
      <c r="K26" s="89"/>
      <c r="L26" s="89"/>
      <c r="M26" s="89"/>
      <c r="N26" s="70">
        <f t="shared" si="0"/>
        <v>0</v>
      </c>
      <c r="O26" s="69"/>
      <c r="P26" s="70">
        <f t="shared" si="4"/>
        <v>19</v>
      </c>
      <c r="Q26" s="91" t="str">
        <f t="shared" si="4"/>
        <v>LESGAR GUTIERREZ</v>
      </c>
      <c r="R26" s="92">
        <f t="shared" si="4"/>
        <v>0</v>
      </c>
      <c r="S26" s="92">
        <f t="shared" si="4"/>
        <v>0</v>
      </c>
      <c r="T26" s="92">
        <f t="shared" si="4"/>
        <v>0</v>
      </c>
      <c r="U26" s="89"/>
      <c r="V26" s="89"/>
      <c r="W26" s="89"/>
      <c r="X26" s="89"/>
      <c r="Y26" s="89"/>
      <c r="Z26" s="66"/>
      <c r="AA26" s="93"/>
      <c r="AB26" s="70">
        <f t="shared" si="8"/>
        <v>0</v>
      </c>
      <c r="AC26" s="74" t="str">
        <f t="shared" si="2"/>
        <v>LESGAR GUTIERREZ</v>
      </c>
      <c r="AD26" s="75">
        <f t="shared" si="9"/>
        <v>0</v>
      </c>
      <c r="AE26" s="76">
        <v>1800</v>
      </c>
      <c r="AF26" s="77">
        <f t="shared" si="5"/>
        <v>0</v>
      </c>
      <c r="AG26" s="111"/>
      <c r="AH26" s="79"/>
      <c r="AI26" s="84" t="s">
        <v>42</v>
      </c>
      <c r="AS26" s="74" t="str">
        <f t="shared" si="6"/>
        <v>LESGAR GUTIERREZ</v>
      </c>
      <c r="AT26" s="118">
        <f t="shared" si="3"/>
        <v>0</v>
      </c>
      <c r="AU26" s="76">
        <v>1800</v>
      </c>
      <c r="AV26" s="117">
        <f t="shared" si="14"/>
        <v>0</v>
      </c>
      <c r="AW26" s="75"/>
      <c r="AX26" s="76">
        <v>1800</v>
      </c>
      <c r="AY26" s="117">
        <f t="shared" si="15"/>
        <v>0</v>
      </c>
      <c r="AZ26" s="94">
        <f t="shared" si="7"/>
        <v>0</v>
      </c>
      <c r="BC26" s="84" t="s">
        <v>42</v>
      </c>
      <c r="BE26" s="111"/>
      <c r="BF26" s="79"/>
      <c r="BG26" s="84"/>
    </row>
    <row r="27" spans="2:59" ht="24.65" hidden="1" customHeight="1" x14ac:dyDescent="0.35">
      <c r="B27" s="70">
        <v>20</v>
      </c>
      <c r="C27" s="96" t="s">
        <v>66</v>
      </c>
      <c r="D27" s="119"/>
      <c r="E27" s="120"/>
      <c r="F27" s="119"/>
      <c r="G27" s="89"/>
      <c r="H27" s="89"/>
      <c r="I27" s="89"/>
      <c r="J27" s="89"/>
      <c r="K27" s="89"/>
      <c r="L27" s="89"/>
      <c r="M27" s="89"/>
      <c r="N27" s="70">
        <f t="shared" si="0"/>
        <v>0</v>
      </c>
      <c r="O27" s="69"/>
      <c r="P27" s="70">
        <f t="shared" si="4"/>
        <v>20</v>
      </c>
      <c r="Q27" s="121" t="str">
        <f t="shared" si="4"/>
        <v>JASSON MARTINEZ</v>
      </c>
      <c r="R27" s="92">
        <f t="shared" si="4"/>
        <v>0</v>
      </c>
      <c r="S27" s="92">
        <f t="shared" si="4"/>
        <v>0</v>
      </c>
      <c r="T27" s="92">
        <f t="shared" si="4"/>
        <v>0</v>
      </c>
      <c r="U27" s="89"/>
      <c r="V27" s="89"/>
      <c r="W27" s="89"/>
      <c r="X27" s="89"/>
      <c r="Y27" s="89"/>
      <c r="Z27" s="66"/>
      <c r="AA27" s="93"/>
      <c r="AB27" s="70">
        <f t="shared" si="8"/>
        <v>0</v>
      </c>
      <c r="AC27" s="74" t="str">
        <f t="shared" si="2"/>
        <v>JASSON MARTINEZ</v>
      </c>
      <c r="AD27" s="75">
        <f t="shared" si="9"/>
        <v>0</v>
      </c>
      <c r="AE27" s="76">
        <v>1400</v>
      </c>
      <c r="AF27" s="77">
        <f t="shared" si="5"/>
        <v>0</v>
      </c>
      <c r="AG27" s="111"/>
      <c r="AH27" s="79"/>
      <c r="AI27" s="84" t="s">
        <v>42</v>
      </c>
      <c r="AS27" s="74" t="str">
        <f t="shared" si="6"/>
        <v>JASSON MARTINEZ</v>
      </c>
      <c r="AT27" s="118">
        <f t="shared" si="3"/>
        <v>0</v>
      </c>
      <c r="AU27" s="76">
        <v>1400</v>
      </c>
      <c r="AV27" s="117">
        <f t="shared" si="14"/>
        <v>0</v>
      </c>
      <c r="AW27" s="75"/>
      <c r="AX27" s="76">
        <v>1400</v>
      </c>
      <c r="AY27" s="117">
        <f t="shared" si="15"/>
        <v>0</v>
      </c>
      <c r="AZ27" s="94">
        <f t="shared" si="7"/>
        <v>0</v>
      </c>
      <c r="BC27" s="84" t="s">
        <v>42</v>
      </c>
      <c r="BE27" s="111"/>
      <c r="BF27" s="79"/>
      <c r="BG27" s="84"/>
    </row>
    <row r="28" spans="2:59" ht="24.65" hidden="1" customHeight="1" x14ac:dyDescent="0.35">
      <c r="B28" s="70">
        <v>21</v>
      </c>
      <c r="C28" s="96" t="s">
        <v>67</v>
      </c>
      <c r="D28" s="122"/>
      <c r="E28" s="122"/>
      <c r="F28" s="122"/>
      <c r="G28" s="89"/>
      <c r="H28" s="89"/>
      <c r="I28" s="89"/>
      <c r="J28" s="89"/>
      <c r="K28" s="89"/>
      <c r="L28" s="89"/>
      <c r="M28" s="89"/>
      <c r="N28" s="70">
        <f t="shared" si="0"/>
        <v>0</v>
      </c>
      <c r="O28" s="69"/>
      <c r="P28" s="70">
        <f t="shared" si="4"/>
        <v>21</v>
      </c>
      <c r="Q28" s="91" t="str">
        <f t="shared" si="4"/>
        <v>MANUEL LOPEZ DAVILA</v>
      </c>
      <c r="R28" s="92">
        <f t="shared" si="4"/>
        <v>0</v>
      </c>
      <c r="S28" s="92">
        <f t="shared" si="4"/>
        <v>0</v>
      </c>
      <c r="T28" s="92">
        <f t="shared" si="4"/>
        <v>0</v>
      </c>
      <c r="U28" s="89"/>
      <c r="V28" s="89"/>
      <c r="W28" s="89"/>
      <c r="X28" s="89"/>
      <c r="Y28" s="89"/>
      <c r="Z28" s="66"/>
      <c r="AA28" s="93"/>
      <c r="AB28" s="70">
        <f t="shared" si="8"/>
        <v>0</v>
      </c>
      <c r="AC28" s="74" t="str">
        <f t="shared" si="2"/>
        <v>MANUEL LOPEZ DAVILA</v>
      </c>
      <c r="AD28" s="75">
        <f t="shared" si="9"/>
        <v>0</v>
      </c>
      <c r="AE28" s="76">
        <v>1500</v>
      </c>
      <c r="AF28" s="77">
        <f t="shared" si="5"/>
        <v>0</v>
      </c>
      <c r="AH28" s="79"/>
      <c r="AI28" s="84" t="s">
        <v>42</v>
      </c>
      <c r="AS28" s="74" t="str">
        <f t="shared" si="6"/>
        <v>MANUEL LOPEZ DAVILA</v>
      </c>
      <c r="AT28" s="118">
        <f t="shared" si="3"/>
        <v>0</v>
      </c>
      <c r="AU28" s="76">
        <v>1500</v>
      </c>
      <c r="AV28" s="117">
        <f t="shared" si="14"/>
        <v>0</v>
      </c>
      <c r="AW28" s="75"/>
      <c r="AX28" s="76">
        <v>1500</v>
      </c>
      <c r="AY28" s="117">
        <f t="shared" si="15"/>
        <v>0</v>
      </c>
      <c r="AZ28" s="94">
        <f t="shared" si="7"/>
        <v>0</v>
      </c>
      <c r="BC28" s="84" t="s">
        <v>42</v>
      </c>
      <c r="BF28" s="79"/>
      <c r="BG28" s="84"/>
    </row>
    <row r="29" spans="2:59" ht="24.65" hidden="1" customHeight="1" x14ac:dyDescent="0.35">
      <c r="B29" s="70">
        <v>22</v>
      </c>
      <c r="C29" s="96" t="s">
        <v>68</v>
      </c>
      <c r="D29" s="122"/>
      <c r="E29" s="122"/>
      <c r="F29" s="122"/>
      <c r="G29" s="89"/>
      <c r="H29" s="89"/>
      <c r="I29" s="89"/>
      <c r="J29" s="89"/>
      <c r="K29" s="89"/>
      <c r="L29" s="89"/>
      <c r="M29" s="89"/>
      <c r="N29" s="70">
        <f t="shared" si="0"/>
        <v>0</v>
      </c>
      <c r="O29" s="69"/>
      <c r="P29" s="70">
        <f t="shared" si="4"/>
        <v>22</v>
      </c>
      <c r="Q29" s="91" t="str">
        <f t="shared" si="4"/>
        <v>PEDRO CENTENO</v>
      </c>
      <c r="R29" s="92">
        <f t="shared" si="4"/>
        <v>0</v>
      </c>
      <c r="S29" s="92">
        <f t="shared" si="4"/>
        <v>0</v>
      </c>
      <c r="T29" s="92">
        <f t="shared" si="4"/>
        <v>0</v>
      </c>
      <c r="U29" s="89"/>
      <c r="V29" s="89"/>
      <c r="W29" s="89"/>
      <c r="X29" s="89"/>
      <c r="Y29" s="89"/>
      <c r="Z29" s="66"/>
      <c r="AA29" s="93"/>
      <c r="AB29" s="70">
        <f t="shared" si="8"/>
        <v>0</v>
      </c>
      <c r="AC29" s="74" t="str">
        <f t="shared" si="2"/>
        <v>PEDRO CENTENO</v>
      </c>
      <c r="AD29" s="75">
        <f t="shared" si="9"/>
        <v>0</v>
      </c>
      <c r="AE29" s="76">
        <v>1700</v>
      </c>
      <c r="AF29" s="77">
        <f t="shared" si="5"/>
        <v>0</v>
      </c>
      <c r="AH29" s="79"/>
      <c r="AI29" s="84" t="s">
        <v>42</v>
      </c>
      <c r="AS29" s="74" t="str">
        <f t="shared" si="6"/>
        <v>PEDRO CENTENO</v>
      </c>
      <c r="AT29" s="118">
        <f t="shared" si="3"/>
        <v>0</v>
      </c>
      <c r="AU29" s="76">
        <v>1700</v>
      </c>
      <c r="AV29" s="117">
        <f t="shared" si="14"/>
        <v>0</v>
      </c>
      <c r="AW29" s="75"/>
      <c r="AX29" s="76">
        <v>1700</v>
      </c>
      <c r="AY29" s="117">
        <f t="shared" si="15"/>
        <v>0</v>
      </c>
      <c r="AZ29" s="94">
        <f t="shared" si="7"/>
        <v>0</v>
      </c>
      <c r="BC29" s="84" t="s">
        <v>42</v>
      </c>
      <c r="BF29" s="79"/>
      <c r="BG29" s="84"/>
    </row>
    <row r="30" spans="2:59" ht="24.65" hidden="1" customHeight="1" x14ac:dyDescent="0.35">
      <c r="B30" s="70">
        <v>23</v>
      </c>
      <c r="C30" s="96" t="s">
        <v>69</v>
      </c>
      <c r="D30" s="122"/>
      <c r="E30" s="122"/>
      <c r="F30" s="122"/>
      <c r="G30" s="89"/>
      <c r="H30" s="89"/>
      <c r="I30" s="89"/>
      <c r="J30" s="89"/>
      <c r="K30" s="89"/>
      <c r="L30" s="89"/>
      <c r="M30" s="89"/>
      <c r="N30" s="70">
        <f t="shared" si="0"/>
        <v>0</v>
      </c>
      <c r="O30" s="69"/>
      <c r="P30" s="70">
        <f t="shared" si="4"/>
        <v>23</v>
      </c>
      <c r="Q30" s="91" t="str">
        <f t="shared" si="4"/>
        <v>JOHNNY HERNANDEZ</v>
      </c>
      <c r="R30" s="92">
        <f t="shared" si="4"/>
        <v>0</v>
      </c>
      <c r="S30" s="92">
        <f t="shared" si="4"/>
        <v>0</v>
      </c>
      <c r="T30" s="92">
        <f t="shared" si="4"/>
        <v>0</v>
      </c>
      <c r="U30" s="89"/>
      <c r="V30" s="88"/>
      <c r="W30" s="89"/>
      <c r="X30" s="89"/>
      <c r="Y30" s="89"/>
      <c r="Z30" s="66"/>
      <c r="AA30" s="93"/>
      <c r="AB30" s="70">
        <f t="shared" si="8"/>
        <v>0</v>
      </c>
      <c r="AC30" s="74" t="str">
        <f t="shared" si="2"/>
        <v>JOHNNY HERNANDEZ</v>
      </c>
      <c r="AD30" s="75">
        <f t="shared" si="9"/>
        <v>0</v>
      </c>
      <c r="AE30" s="76">
        <v>2500</v>
      </c>
      <c r="AF30" s="77">
        <f t="shared" si="5"/>
        <v>0</v>
      </c>
      <c r="AG30" s="78"/>
      <c r="AH30" s="79"/>
      <c r="AI30" s="84" t="s">
        <v>50</v>
      </c>
      <c r="AS30" s="74" t="str">
        <f t="shared" si="6"/>
        <v>JOHNNY HERNANDEZ</v>
      </c>
      <c r="AT30" s="118">
        <f t="shared" si="3"/>
        <v>0</v>
      </c>
      <c r="AU30" s="76">
        <v>2500</v>
      </c>
      <c r="AV30" s="117">
        <f t="shared" si="14"/>
        <v>0</v>
      </c>
      <c r="AW30" s="75">
        <f>11+11+11+11+11+8</f>
        <v>63</v>
      </c>
      <c r="AX30" s="76">
        <v>2500</v>
      </c>
      <c r="AY30" s="117">
        <f t="shared" si="15"/>
        <v>157500</v>
      </c>
      <c r="AZ30" s="94">
        <f t="shared" si="7"/>
        <v>157500</v>
      </c>
      <c r="BA30" s="83">
        <f>40000</f>
        <v>40000</v>
      </c>
      <c r="BC30" s="80" t="s">
        <v>50</v>
      </c>
      <c r="BE30" s="85"/>
      <c r="BF30" s="79"/>
      <c r="BG30" s="84"/>
    </row>
    <row r="31" spans="2:59" ht="24.65" hidden="1" customHeight="1" x14ac:dyDescent="0.35">
      <c r="B31" s="70">
        <v>24</v>
      </c>
      <c r="C31" s="96" t="s">
        <v>70</v>
      </c>
      <c r="D31" s="122"/>
      <c r="E31" s="122"/>
      <c r="F31" s="122"/>
      <c r="G31" s="89"/>
      <c r="H31" s="89"/>
      <c r="I31" s="89"/>
      <c r="J31" s="89"/>
      <c r="K31" s="89"/>
      <c r="L31" s="89"/>
      <c r="M31" s="89"/>
      <c r="N31" s="70">
        <f t="shared" si="0"/>
        <v>0</v>
      </c>
      <c r="O31" s="69"/>
      <c r="P31" s="70">
        <f t="shared" si="4"/>
        <v>24</v>
      </c>
      <c r="Q31" s="91" t="str">
        <f t="shared" si="4"/>
        <v>ALEXANDER GUEVARA</v>
      </c>
      <c r="R31" s="92">
        <f t="shared" si="4"/>
        <v>0</v>
      </c>
      <c r="S31" s="92">
        <f t="shared" si="4"/>
        <v>0</v>
      </c>
      <c r="T31" s="92">
        <f t="shared" si="4"/>
        <v>0</v>
      </c>
      <c r="U31" s="89"/>
      <c r="V31" s="88"/>
      <c r="W31" s="89"/>
      <c r="X31" s="89"/>
      <c r="Y31" s="89"/>
      <c r="Z31" s="66"/>
      <c r="AA31" s="93"/>
      <c r="AB31" s="70">
        <f t="shared" si="8"/>
        <v>0</v>
      </c>
      <c r="AC31" s="74" t="str">
        <f t="shared" si="2"/>
        <v>ALEXANDER GUEVARA</v>
      </c>
      <c r="AD31" s="75">
        <f t="shared" si="9"/>
        <v>0</v>
      </c>
      <c r="AE31" s="76">
        <v>1400</v>
      </c>
      <c r="AF31" s="77">
        <f t="shared" si="5"/>
        <v>0</v>
      </c>
      <c r="AH31" s="79"/>
      <c r="AI31" s="84" t="s">
        <v>63</v>
      </c>
      <c r="AS31" s="74" t="str">
        <f t="shared" si="6"/>
        <v>ALEXANDER GUEVARA</v>
      </c>
      <c r="AT31" s="118">
        <f t="shared" si="3"/>
        <v>0</v>
      </c>
      <c r="AU31" s="76">
        <v>1400</v>
      </c>
      <c r="AV31" s="117">
        <f t="shared" si="14"/>
        <v>0</v>
      </c>
      <c r="AW31" s="75"/>
      <c r="AX31" s="76">
        <v>1400</v>
      </c>
      <c r="AY31" s="117">
        <f t="shared" si="15"/>
        <v>0</v>
      </c>
      <c r="AZ31" s="94">
        <f t="shared" si="7"/>
        <v>0</v>
      </c>
      <c r="BC31" s="84" t="s">
        <v>63</v>
      </c>
      <c r="BF31" s="79"/>
      <c r="BG31" s="84"/>
    </row>
    <row r="32" spans="2:59" ht="25.25" hidden="1" customHeight="1" x14ac:dyDescent="0.35">
      <c r="B32" s="70">
        <v>25</v>
      </c>
      <c r="C32" s="96" t="s">
        <v>71</v>
      </c>
      <c r="D32" s="122"/>
      <c r="E32" s="122"/>
      <c r="F32" s="122"/>
      <c r="G32" s="89"/>
      <c r="H32" s="89"/>
      <c r="I32" s="89"/>
      <c r="J32" s="89"/>
      <c r="K32" s="89"/>
      <c r="L32" s="89"/>
      <c r="M32" s="89"/>
      <c r="N32" s="70">
        <f t="shared" si="0"/>
        <v>0</v>
      </c>
      <c r="O32" s="69"/>
      <c r="P32" s="70">
        <f t="shared" si="4"/>
        <v>25</v>
      </c>
      <c r="Q32" s="91" t="str">
        <f t="shared" si="4"/>
        <v>CRISTIAN JOEL GARCIA</v>
      </c>
      <c r="R32" s="92">
        <f t="shared" si="4"/>
        <v>0</v>
      </c>
      <c r="S32" s="92">
        <f t="shared" si="4"/>
        <v>0</v>
      </c>
      <c r="T32" s="92">
        <f t="shared" si="4"/>
        <v>0</v>
      </c>
      <c r="U32" s="89"/>
      <c r="V32" s="88"/>
      <c r="W32" s="89"/>
      <c r="X32" s="89"/>
      <c r="Y32" s="89"/>
      <c r="Z32" s="66"/>
      <c r="AA32" s="93"/>
      <c r="AB32" s="70">
        <f t="shared" si="8"/>
        <v>0</v>
      </c>
      <c r="AC32" s="74" t="str">
        <f t="shared" si="2"/>
        <v>CRISTIAN JOEL GARCIA</v>
      </c>
      <c r="AD32" s="75">
        <f t="shared" si="9"/>
        <v>0</v>
      </c>
      <c r="AE32" s="76">
        <v>1400</v>
      </c>
      <c r="AF32" s="77">
        <f t="shared" si="5"/>
        <v>0</v>
      </c>
      <c r="AH32" s="79"/>
      <c r="AI32" s="84" t="s">
        <v>63</v>
      </c>
      <c r="AS32" s="74" t="str">
        <f t="shared" si="6"/>
        <v>CRISTIAN JOEL GARCIA</v>
      </c>
      <c r="AT32" s="118">
        <f t="shared" si="3"/>
        <v>0</v>
      </c>
      <c r="AU32" s="76">
        <v>1400</v>
      </c>
      <c r="AV32" s="117">
        <f t="shared" si="14"/>
        <v>0</v>
      </c>
      <c r="AW32" s="75">
        <v>0</v>
      </c>
      <c r="AX32" s="76">
        <v>1400</v>
      </c>
      <c r="AY32" s="117">
        <f t="shared" si="15"/>
        <v>0</v>
      </c>
      <c r="AZ32" s="94">
        <f t="shared" si="7"/>
        <v>0</v>
      </c>
      <c r="BC32" s="80" t="s">
        <v>72</v>
      </c>
      <c r="BF32" s="79"/>
      <c r="BG32" s="84"/>
    </row>
    <row r="33" spans="2:59" ht="25.25" hidden="1" customHeight="1" x14ac:dyDescent="0.35">
      <c r="B33" s="70">
        <v>26</v>
      </c>
      <c r="C33" s="96" t="s">
        <v>73</v>
      </c>
      <c r="D33" s="122"/>
      <c r="E33" s="122"/>
      <c r="F33" s="122"/>
      <c r="G33" s="89"/>
      <c r="H33" s="89"/>
      <c r="I33" s="89"/>
      <c r="J33" s="89"/>
      <c r="K33" s="89"/>
      <c r="L33" s="89"/>
      <c r="M33" s="89"/>
      <c r="N33" s="70">
        <f t="shared" si="0"/>
        <v>0</v>
      </c>
      <c r="O33" s="69"/>
      <c r="P33" s="70">
        <f t="shared" si="4"/>
        <v>26</v>
      </c>
      <c r="Q33" s="91" t="str">
        <f t="shared" si="4"/>
        <v>JOSEFATH ANTONIO CASTELLON</v>
      </c>
      <c r="R33" s="92">
        <f t="shared" si="4"/>
        <v>0</v>
      </c>
      <c r="S33" s="92">
        <f t="shared" si="4"/>
        <v>0</v>
      </c>
      <c r="T33" s="92">
        <f t="shared" si="4"/>
        <v>0</v>
      </c>
      <c r="U33" s="89"/>
      <c r="V33" s="88"/>
      <c r="W33" s="89"/>
      <c r="X33" s="89"/>
      <c r="Y33" s="89"/>
      <c r="Z33" s="66"/>
      <c r="AA33" s="93"/>
      <c r="AB33" s="70">
        <f t="shared" si="8"/>
        <v>0</v>
      </c>
      <c r="AC33" s="74" t="str">
        <f t="shared" si="2"/>
        <v>JOSEFATH ANTONIO CASTELLON</v>
      </c>
      <c r="AD33" s="75">
        <f t="shared" si="9"/>
        <v>0</v>
      </c>
      <c r="AE33" s="76">
        <v>1400</v>
      </c>
      <c r="AF33" s="77">
        <f t="shared" si="5"/>
        <v>0</v>
      </c>
      <c r="AG33" s="123"/>
      <c r="AH33" s="123"/>
      <c r="AI33" s="84" t="s">
        <v>74</v>
      </c>
      <c r="AS33" s="74" t="str">
        <f t="shared" si="6"/>
        <v>JOSEFATH ANTONIO CASTELLON</v>
      </c>
      <c r="AT33" s="118">
        <f t="shared" si="3"/>
        <v>0</v>
      </c>
      <c r="AU33" s="76">
        <v>1400</v>
      </c>
      <c r="AV33" s="117">
        <f>AT33*AU33</f>
        <v>0</v>
      </c>
      <c r="AW33" s="75">
        <f>11+11+11+11+11+8</f>
        <v>63</v>
      </c>
      <c r="AX33" s="76">
        <v>1400</v>
      </c>
      <c r="AY33" s="117">
        <f>AW33*AX33</f>
        <v>88200</v>
      </c>
      <c r="AZ33" s="94">
        <f t="shared" si="7"/>
        <v>88200</v>
      </c>
      <c r="BC33" s="80" t="s">
        <v>74</v>
      </c>
      <c r="BE33" s="123"/>
      <c r="BF33" s="123"/>
      <c r="BG33" s="84"/>
    </row>
    <row r="34" spans="2:59" ht="25.25" hidden="1" customHeight="1" x14ac:dyDescent="0.35">
      <c r="B34" s="70">
        <v>27</v>
      </c>
      <c r="C34" s="124" t="s">
        <v>75</v>
      </c>
      <c r="D34" s="119"/>
      <c r="E34" s="119"/>
      <c r="F34" s="119"/>
      <c r="G34" s="109"/>
      <c r="H34" s="110"/>
      <c r="I34" s="110"/>
      <c r="J34" s="110"/>
      <c r="K34" s="110"/>
      <c r="L34" s="110"/>
      <c r="M34" s="125"/>
      <c r="N34" s="70">
        <f t="shared" si="0"/>
        <v>0</v>
      </c>
      <c r="O34" s="5"/>
      <c r="P34" s="70">
        <f t="shared" si="4"/>
        <v>27</v>
      </c>
      <c r="Q34" s="126" t="str">
        <f t="shared" si="4"/>
        <v>MARIA MENESE</v>
      </c>
      <c r="R34" s="127"/>
      <c r="S34" s="127"/>
      <c r="T34" s="127"/>
      <c r="U34" s="109"/>
      <c r="V34" s="109"/>
      <c r="W34" s="110"/>
      <c r="X34" s="110"/>
      <c r="Y34" s="110"/>
      <c r="Z34" s="66"/>
      <c r="AA34" s="125"/>
      <c r="AB34" s="70">
        <f t="shared" si="8"/>
        <v>0</v>
      </c>
      <c r="AC34" s="74" t="str">
        <f>Q34</f>
        <v>MARIA MENESE</v>
      </c>
      <c r="AD34" s="75">
        <f t="shared" si="9"/>
        <v>0</v>
      </c>
      <c r="AE34" s="76"/>
      <c r="AF34" s="77">
        <f t="shared" si="5"/>
        <v>0</v>
      </c>
      <c r="AG34" s="128"/>
      <c r="AH34" s="129"/>
      <c r="AI34" s="80" t="s">
        <v>76</v>
      </c>
      <c r="AS34" s="74" t="str">
        <f t="shared" si="6"/>
        <v>MARIA MENESE</v>
      </c>
      <c r="AT34" s="118"/>
      <c r="AU34" s="76"/>
      <c r="AV34" s="117"/>
      <c r="AW34" s="75"/>
      <c r="AX34" s="76"/>
      <c r="AY34" s="117"/>
      <c r="AZ34" s="130"/>
      <c r="BE34" s="123"/>
      <c r="BF34" s="123"/>
      <c r="BG34" s="84"/>
    </row>
    <row r="35" spans="2:59" ht="25.25" customHeight="1" x14ac:dyDescent="0.35">
      <c r="B35" s="131">
        <v>28</v>
      </c>
      <c r="C35" s="124" t="s">
        <v>77</v>
      </c>
      <c r="D35" s="119"/>
      <c r="E35" s="119"/>
      <c r="F35" s="119"/>
      <c r="G35" s="109"/>
      <c r="H35" s="110"/>
      <c r="I35" s="110"/>
      <c r="J35" s="110"/>
      <c r="K35" s="110"/>
      <c r="L35" s="110"/>
      <c r="M35" s="125"/>
      <c r="N35" s="70">
        <f t="shared" si="0"/>
        <v>0</v>
      </c>
      <c r="O35" s="5"/>
      <c r="P35" s="70">
        <f t="shared" si="4"/>
        <v>28</v>
      </c>
      <c r="Q35" s="124" t="str">
        <f t="shared" si="4"/>
        <v>JAIRO ESPINOZA</v>
      </c>
      <c r="R35" s="127"/>
      <c r="S35" s="127"/>
      <c r="T35" s="127"/>
      <c r="U35" s="109"/>
      <c r="V35" s="109"/>
      <c r="W35" s="110"/>
      <c r="X35" s="110"/>
      <c r="Y35" s="110"/>
      <c r="Z35" s="66"/>
      <c r="AA35" s="125"/>
      <c r="AB35" s="70">
        <f>SUM(U35:AA35)</f>
        <v>0</v>
      </c>
      <c r="AC35" s="74" t="str">
        <f>Q35</f>
        <v>JAIRO ESPINOZA</v>
      </c>
      <c r="AD35" s="75">
        <f>AB35+N35</f>
        <v>0</v>
      </c>
      <c r="AE35" s="76">
        <v>1500</v>
      </c>
      <c r="AF35" s="77">
        <f t="shared" si="5"/>
        <v>0</v>
      </c>
      <c r="AG35" s="128"/>
      <c r="AH35" s="129"/>
      <c r="AI35" s="80" t="s">
        <v>38</v>
      </c>
      <c r="AS35" s="74" t="str">
        <f t="shared" si="6"/>
        <v>JAIRO ESPINOZA</v>
      </c>
      <c r="AT35" s="118"/>
      <c r="AU35" s="76"/>
      <c r="AV35" s="117"/>
      <c r="AW35" s="75"/>
      <c r="AX35" s="76"/>
      <c r="AY35" s="117"/>
      <c r="AZ35" s="130"/>
      <c r="BE35" s="123"/>
      <c r="BF35" s="123"/>
      <c r="BG35" s="84"/>
    </row>
    <row r="36" spans="2:59" ht="25.25" customHeight="1" thickBot="1" x14ac:dyDescent="0.4">
      <c r="B36" s="131">
        <v>29</v>
      </c>
      <c r="C36" s="124" t="s">
        <v>78</v>
      </c>
      <c r="D36" s="119"/>
      <c r="E36" s="119"/>
      <c r="F36" s="119"/>
      <c r="G36" s="65">
        <v>12</v>
      </c>
      <c r="H36" s="132">
        <v>11</v>
      </c>
      <c r="I36" s="132">
        <v>10</v>
      </c>
      <c r="J36" s="132"/>
      <c r="K36" s="132">
        <v>11</v>
      </c>
      <c r="L36" s="132"/>
      <c r="M36" s="125"/>
      <c r="N36" s="70">
        <f t="shared" si="0"/>
        <v>44</v>
      </c>
      <c r="O36" s="5"/>
      <c r="P36" s="70">
        <f t="shared" si="4"/>
        <v>29</v>
      </c>
      <c r="Q36" s="124" t="str">
        <f t="shared" si="4"/>
        <v xml:space="preserve">CARLOS </v>
      </c>
      <c r="R36" s="127"/>
      <c r="S36" s="127"/>
      <c r="T36" s="127"/>
      <c r="U36" s="109">
        <v>10</v>
      </c>
      <c r="V36" s="132">
        <v>13</v>
      </c>
      <c r="W36" s="132">
        <v>13</v>
      </c>
      <c r="X36" s="132">
        <v>10</v>
      </c>
      <c r="Y36" s="132"/>
      <c r="Z36" s="66"/>
      <c r="AA36" s="125"/>
      <c r="AB36" s="70">
        <f t="shared" si="8"/>
        <v>46</v>
      </c>
      <c r="AC36" s="74" t="str">
        <f>Q36</f>
        <v xml:space="preserve">CARLOS </v>
      </c>
      <c r="AD36" s="75">
        <f>AB36+N36</f>
        <v>90</v>
      </c>
      <c r="AE36" s="76">
        <v>1600</v>
      </c>
      <c r="AF36" s="77">
        <f t="shared" si="5"/>
        <v>144000</v>
      </c>
      <c r="AG36" s="128"/>
      <c r="AH36" s="129"/>
      <c r="AI36" s="80" t="s">
        <v>79</v>
      </c>
      <c r="AS36" s="74" t="str">
        <f t="shared" si="6"/>
        <v xml:space="preserve">CARLOS </v>
      </c>
      <c r="AT36" s="118"/>
      <c r="AU36" s="76"/>
      <c r="AV36" s="117"/>
      <c r="AW36" s="75"/>
      <c r="AX36" s="76"/>
      <c r="AY36" s="117"/>
      <c r="AZ36" s="130"/>
      <c r="BE36" s="123"/>
      <c r="BF36" s="123"/>
      <c r="BG36" s="84"/>
    </row>
    <row r="37" spans="2:59" ht="25.25" customHeight="1" thickTop="1" thickBot="1" x14ac:dyDescent="0.4">
      <c r="B37" s="133">
        <v>30</v>
      </c>
      <c r="C37" s="134"/>
      <c r="D37" s="135"/>
      <c r="E37" s="135"/>
      <c r="F37" s="135"/>
      <c r="G37" s="136"/>
      <c r="H37" s="137"/>
      <c r="I37" s="137"/>
      <c r="J37" s="137"/>
      <c r="K37" s="137"/>
      <c r="L37" s="137"/>
      <c r="M37" s="138"/>
      <c r="N37" s="133">
        <f>SUM(G37:M37)</f>
        <v>0</v>
      </c>
      <c r="O37" s="5"/>
      <c r="P37" s="133"/>
      <c r="Q37" s="139">
        <f t="shared" ref="Q37:T37" si="16">C37</f>
        <v>0</v>
      </c>
      <c r="R37" s="133">
        <f t="shared" si="16"/>
        <v>0</v>
      </c>
      <c r="S37" s="140">
        <f t="shared" si="16"/>
        <v>0</v>
      </c>
      <c r="T37" s="140">
        <f t="shared" si="16"/>
        <v>0</v>
      </c>
      <c r="U37" s="136"/>
      <c r="V37" s="141"/>
      <c r="W37" s="132"/>
      <c r="X37" s="132"/>
      <c r="Y37" s="132"/>
      <c r="Z37" s="132"/>
      <c r="AA37" s="142"/>
      <c r="AB37" s="133">
        <f t="shared" si="8"/>
        <v>0</v>
      </c>
      <c r="AD37" s="118">
        <f>AB37+N37</f>
        <v>0</v>
      </c>
      <c r="AE37" s="143"/>
      <c r="AF37" s="144"/>
      <c r="AG37" s="123"/>
      <c r="AH37" s="123"/>
      <c r="AI37" s="123"/>
      <c r="AS37" s="74">
        <f t="shared" si="6"/>
        <v>0</v>
      </c>
      <c r="AT37" s="118"/>
      <c r="AU37" s="143"/>
      <c r="AV37" s="144"/>
      <c r="AW37" s="75"/>
      <c r="AX37" s="143"/>
      <c r="AY37" s="144"/>
      <c r="AZ37" s="130"/>
    </row>
    <row r="38" spans="2:59" ht="16" thickTop="1" x14ac:dyDescent="0.35">
      <c r="G38" s="1" t="s">
        <v>80</v>
      </c>
      <c r="P38" s="145"/>
      <c r="AD38" s="123"/>
      <c r="AE38" s="123"/>
      <c r="AF38" s="123"/>
      <c r="AG38" s="123"/>
      <c r="AH38" s="123"/>
    </row>
    <row r="39" spans="2:59" ht="15.5" x14ac:dyDescent="0.35">
      <c r="AD39" s="123"/>
      <c r="AE39" s="123"/>
      <c r="AF39" s="123"/>
      <c r="AG39" s="123"/>
      <c r="AH39" s="123"/>
    </row>
    <row r="41" spans="2:59" ht="25.25" customHeight="1" x14ac:dyDescent="0.35">
      <c r="AC41" s="84"/>
      <c r="AD41" s="85"/>
      <c r="AE41" s="85"/>
    </row>
  </sheetData>
  <mergeCells count="30">
    <mergeCell ref="BA6:BA7"/>
    <mergeCell ref="BE6:BF7"/>
    <mergeCell ref="AU6:AU7"/>
    <mergeCell ref="AV6:AV7"/>
    <mergeCell ref="AW6:AW7"/>
    <mergeCell ref="AX6:AX7"/>
    <mergeCell ref="AY6:AY7"/>
    <mergeCell ref="AZ6:AZ7"/>
    <mergeCell ref="AB6:AB7"/>
    <mergeCell ref="AD6:AD7"/>
    <mergeCell ref="AE6:AE7"/>
    <mergeCell ref="AF6:AF7"/>
    <mergeCell ref="AG6:AG7"/>
    <mergeCell ref="AT6:AT7"/>
    <mergeCell ref="B6:B7"/>
    <mergeCell ref="C6:F6"/>
    <mergeCell ref="G6:M6"/>
    <mergeCell ref="N6:N7"/>
    <mergeCell ref="P6:P7"/>
    <mergeCell ref="U6:AA6"/>
    <mergeCell ref="B3:N3"/>
    <mergeCell ref="P3:AB3"/>
    <mergeCell ref="B4:N4"/>
    <mergeCell ref="P4:AB4"/>
    <mergeCell ref="C5:F5"/>
    <mergeCell ref="I5:J5"/>
    <mergeCell ref="L5:N5"/>
    <mergeCell ref="Q5:T5"/>
    <mergeCell ref="W5:Y5"/>
    <mergeCell ref="AA5:AB5"/>
  </mergeCells>
  <pageMargins left="0.7" right="0.7" top="0.75" bottom="0.75" header="0.3" footer="0.3"/>
  <pageSetup scale="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Salas Jimenez</dc:creator>
  <cp:lastModifiedBy>Fabian Salas Jimenez</cp:lastModifiedBy>
  <dcterms:created xsi:type="dcterms:W3CDTF">2023-12-03T18:52:13Z</dcterms:created>
  <dcterms:modified xsi:type="dcterms:W3CDTF">2023-12-03T19:45:17Z</dcterms:modified>
</cp:coreProperties>
</file>